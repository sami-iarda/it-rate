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iarda-my.sharepoint.com/personal/shahad_tulayhi_iarda_gov_sa/Documents/Documents/الكراسات والمشاريع/المشاريع البرمجية/"/>
    </mc:Choice>
  </mc:AlternateContent>
  <xr:revisionPtr revIDLastSave="0" documentId="8_{7A7F773F-1DC1-4872-BDA9-4F1B34BC8979}" xr6:coauthVersionLast="47" xr6:coauthVersionMax="47" xr10:uidLastSave="{00000000-0000-0000-0000-000000000000}"/>
  <bookViews>
    <workbookView xWindow="-110" yWindow="-110" windowWidth="19420" windowHeight="10300" tabRatio="500" firstSheet="2" activeTab="3" xr2:uid="{00000000-000D-0000-FFFF-FFFF00000000}"/>
  </bookViews>
  <sheets>
    <sheet name="دليل الاستخدام" sheetId="1" r:id="rId1"/>
    <sheet name="الإعدادات" sheetId="2" r:id="rId2"/>
    <sheet name="تفاصيل الطلب" sheetId="3" r:id="rId3"/>
    <sheet name="بوابة الاكتمال" sheetId="4" r:id="rId4"/>
    <sheet name="التقييم التقني" sheetId="5" r:id="rId5"/>
    <sheet name="النتيجة والقرار" sheetId="6" r:id="rId6"/>
  </sheets>
  <definedNames>
    <definedName name="_xlnm.Print_Area" localSheetId="1">الإعدادات!$A$1:$K$26</definedName>
    <definedName name="_xlnm.Print_Area" localSheetId="4">'التقييم التقني'!$A$1:$G$44</definedName>
    <definedName name="_xlnm.Print_Area" localSheetId="5">'النتيجة والقرار'!$A$1:$G$30</definedName>
    <definedName name="_xlnm.Print_Area" localSheetId="3">'بوابة الاكتمال'!$A$1:$F$14</definedName>
    <definedName name="_xlnm.Print_Area" localSheetId="2">'تفاصيل الطلب'!$A$1:$F$42</definedName>
    <definedName name="_xlnm.Print_Area" localSheetId="0">'دليل الاستخدام'!$A$1:$I$32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 i="6" l="1"/>
  <c r="E10" i="6"/>
  <c r="E9" i="6"/>
  <c r="E8" i="6"/>
  <c r="E43" i="5"/>
  <c r="D11" i="6" s="1"/>
  <c r="D43" i="5"/>
  <c r="C11" i="6" s="1"/>
  <c r="D42" i="5"/>
  <c r="D41" i="5"/>
  <c r="E37" i="5"/>
  <c r="D10" i="6" s="1"/>
  <c r="D36" i="5"/>
  <c r="D35" i="5"/>
  <c r="D34" i="5"/>
  <c r="D33" i="5"/>
  <c r="D32" i="5"/>
  <c r="D31" i="5"/>
  <c r="D28" i="5"/>
  <c r="D27" i="5"/>
  <c r="D26" i="5"/>
  <c r="D37" i="5" s="1"/>
  <c r="C10" i="6" s="1"/>
  <c r="E21" i="5"/>
  <c r="D9" i="6" s="1"/>
  <c r="F9" i="6" s="1"/>
  <c r="D20" i="5"/>
  <c r="D19" i="5"/>
  <c r="D18" i="5"/>
  <c r="D21" i="5" s="1"/>
  <c r="C9" i="6" s="1"/>
  <c r="E14" i="5"/>
  <c r="D8" i="6" s="1"/>
  <c r="D13" i="5"/>
  <c r="D12" i="5"/>
  <c r="D11" i="5"/>
  <c r="D14" i="5" s="1"/>
  <c r="C8" i="6" s="1"/>
  <c r="C13" i="4"/>
  <c r="C10" i="2"/>
  <c r="C12" i="3"/>
  <c r="D4" i="6" l="1"/>
  <c r="F11" i="6"/>
  <c r="F10" i="6"/>
  <c r="F8" i="6"/>
  <c r="F12" i="6" s="1"/>
  <c r="D1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2" authorId="0" shapeId="0" xr:uid="{00000000-0006-0000-0200-000001000000}">
      <text>
        <r>
          <rPr>
            <sz val="10"/>
            <rFont val="FreeSans"/>
            <family val="2"/>
          </rPr>
          <t>الرقم التسلسلي — يُعدَّل يدوياً مع كل طلب جديد (</t>
        </r>
        <r>
          <rPr>
            <sz val="10"/>
            <rFont val="Arial"/>
            <family val="2"/>
          </rPr>
          <t>0001</t>
        </r>
        <r>
          <rPr>
            <sz val="10"/>
            <rFont val="FreeSans"/>
            <family val="2"/>
          </rPr>
          <t xml:space="preserve">، </t>
        </r>
        <r>
          <rPr>
            <sz val="10"/>
            <rFont val="Arial"/>
            <family val="2"/>
          </rPr>
          <t>0002...)</t>
        </r>
      </text>
    </comment>
  </commentList>
</comments>
</file>

<file path=xl/sharedStrings.xml><?xml version="1.0" encoding="utf-8"?>
<sst xmlns="http://schemas.openxmlformats.org/spreadsheetml/2006/main" count="217" uniqueCount="182">
  <si>
    <t>نموذج تقييم وقبول طلبات المشاريع التطويرية البرمجية</t>
  </si>
  <si>
    <t>▪ الهدف من النموذج</t>
  </si>
  <si>
    <t>أداة موحّدة لتقييم طلبات المشاريع والتطويرات البرمجية بشكل موضوعي وقابل للمقارنة، عبر مرحلتين: تقييم بوابة أولي (شروط إلزامية) ثم تقييم نقاطي مرجّح (أثر تشغيلي + مواءمة استراتيجية + جاهزية فنية + مخاطر).</t>
  </si>
  <si>
    <t>▪ التسلسل الموصى به</t>
  </si>
  <si>
    <t>1. تعبئة شيت «بيانات الطلب».
2. تعبئة «بوابة الاكتمال» للتأكد من جاهزية الطلب للتقييم.
3. تعبئة «التقييم التفصيلي» بكل معاييره.
4. مراجعة «النتيجة والقرار» المحسوبة تلقائياً.
5. اعتماد النموذج بالتوقيعات.</t>
  </si>
  <si>
    <t>▪ شيت الإعدادات</t>
  </si>
  <si>
    <t>يحتوي على الأوزان والنطاقات وقواعد التصنيف. يمكن لمالك العملية تعديل الأوزان من هذا الشيت فقط، وستنعكس التغييرات تلقائياً على نموذج التقييم دون الحاجة لتعديل الصيغ.</t>
  </si>
  <si>
    <t>▪ الخلايا الصفراء</t>
  </si>
  <si>
    <t>هي الحقول المطلوب تعبئتها يدوياً (قوائم منسدلة أو نص).</t>
  </si>
  <si>
    <t>▪ الخلايا الرمادية/البيضاء</t>
  </si>
  <si>
    <t>محسوبة تلقائياً بالصيغ.</t>
  </si>
  <si>
    <t>خريطة الشيتات</t>
  </si>
  <si>
    <t>الإعدادات</t>
  </si>
  <si>
    <t>الأوزان، الأولوية، قوائم القيم المنسدلة</t>
  </si>
  <si>
    <t>بيانات الطلب</t>
  </si>
  <si>
    <t>البيانات التعريفية للمشروع/الطلب ومقدّمه</t>
  </si>
  <si>
    <t>التقييم الوصفي</t>
  </si>
  <si>
    <t>تقييم الإدارة الطالبة (Business Assessment) والتقييم التقني (Technical Assessment)</t>
  </si>
  <si>
    <t>بوابة الاكتمال</t>
  </si>
  <si>
    <t>شروط إلزامية (Gate) قبل قبول الطلب للتقييم</t>
  </si>
  <si>
    <t>التقييم التفصيلي</t>
  </si>
  <si>
    <t>الأثر التشغيلي + المواءمة الاستراتيجية + الجاهزية الفنية + المخاطر</t>
  </si>
  <si>
    <t>النتيجة والقرار</t>
  </si>
  <si>
    <t>ملخص النقاط، الأولوية، قابلية التطبيق، التوصية والاعتماد</t>
  </si>
  <si>
    <t>الإعدادات — الأوزان وقواعد التصنيف</t>
  </si>
  <si>
    <t>يمكن تعديل القيم الصفراء فقط؛ كل صيغ النموذج ترتبط بهذا الشيت تلقائياً.</t>
  </si>
  <si>
    <t>محور التقييم</t>
  </si>
  <si>
    <t>الوزن (من 100)</t>
  </si>
  <si>
    <t>ملاحظات</t>
  </si>
  <si>
    <t>الأثر التشغيلي</t>
  </si>
  <si>
    <t>نطاق الاستفادة + تحسين الخدمة/العملية</t>
  </si>
  <si>
    <t>المواءمة الاستراتيجية</t>
  </si>
  <si>
    <t>الارتباط بالخطة التشغيلية والأهداف الاستراتيجية</t>
  </si>
  <si>
    <t>الجاهزية والجدوى الفنية</t>
  </si>
  <si>
    <t>توافر البنية التحتية والتوافق التقني والبيانات</t>
  </si>
  <si>
    <t>التأثير على الأنظمة الحالية والمخاطر</t>
  </si>
  <si>
    <t>وزن مرفوع مقارنة بالنموذج الأصلي (كان 5 من 100)</t>
  </si>
  <si>
    <t>الإجمالي</t>
  </si>
  <si>
    <t>ملاحظة: يجب أن يكون إجمالي الأوزان = 100. إن لم يكن كذلك ستظهر الخلية أعلاه باللون الأحمر.</t>
  </si>
  <si>
    <t>نطاقات الأولوية</t>
  </si>
  <si>
    <t>الأولوية</t>
  </si>
  <si>
    <t>الحد الأدنى للنقاط</t>
  </si>
  <si>
    <t>الحد الأعلى للنقاط</t>
  </si>
  <si>
    <t>عالية</t>
  </si>
  <si>
    <t>متوسطة</t>
  </si>
  <si>
    <t>منخفضة</t>
  </si>
  <si>
    <t>قوائم القيم (للقوائم المنسدلة في النموذج)</t>
  </si>
  <si>
    <t>نعم_لا</t>
  </si>
  <si>
    <t>نطاق_الاستفادة</t>
  </si>
  <si>
    <t>عدد_المستفيدين</t>
  </si>
  <si>
    <t>تحسين_الخدمة</t>
  </si>
  <si>
    <t>ارتباط_الخطة</t>
  </si>
  <si>
    <t>نوع_الطلب</t>
  </si>
  <si>
    <t>مستوى_التأثير</t>
  </si>
  <si>
    <t>مستوى_المخاطر</t>
  </si>
  <si>
    <t>قابلية_التطبيق</t>
  </si>
  <si>
    <t>نعم</t>
  </si>
  <si>
    <t>إدارة واحدة (5)</t>
  </si>
  <si>
    <t>أقل من 20 (3)</t>
  </si>
  <si>
    <t>تحسين خدمة داخل إدارة (5)</t>
  </si>
  <si>
    <t>غير مرتبط (0)</t>
  </si>
  <si>
    <t>متطلب جديد في نظام/ منصة قائمة</t>
  </si>
  <si>
    <t>لا يوجد (0)</t>
  </si>
  <si>
    <t>منخفضة (2)</t>
  </si>
  <si>
    <t>قابل للتطبيق</t>
  </si>
  <si>
    <t>لا</t>
  </si>
  <si>
    <t>عدة إدارات (8)</t>
  </si>
  <si>
    <t>20-100 (6)</t>
  </si>
  <si>
    <t>تحسين عمليات مشتركة (10)</t>
  </si>
  <si>
    <t>مرتبط جزئياً (3)</t>
  </si>
  <si>
    <t>نظام/ منصة جديدة</t>
  </si>
  <si>
    <t>محدود (2)</t>
  </si>
  <si>
    <t>متوسطة (5)</t>
  </si>
  <si>
    <t>قابل للتطبيق مع متطلبات إضافية / ملاحظات</t>
  </si>
  <si>
    <t>على مستوى الجهة (10)</t>
  </si>
  <si>
    <t>أكثر من 100 / مستفيدون خارجيون (10)</t>
  </si>
  <si>
    <t>تحسين عملية رئيسية على مستوى الجهة (15)</t>
  </si>
  <si>
    <t>مرتبط بالكامل (5)</t>
  </si>
  <si>
    <t>تكامل مع أنظمة أخرى</t>
  </si>
  <si>
    <t>متوسط (5)</t>
  </si>
  <si>
    <t>مرتفعة (8)</t>
  </si>
  <si>
    <t>غير قابل للتطبيق حالياً</t>
  </si>
  <si>
    <t>مرتفع (8)</t>
  </si>
  <si>
    <t>غير قابل للتطبيق</t>
  </si>
  <si>
    <t xml:space="preserve"> الإدارة الطالبة (Business Assessment)</t>
  </si>
  <si>
    <t>يتم تقييم الطلب من ناحية الحاجة وتوفر المعلومات الأساسية.</t>
  </si>
  <si>
    <t>1. بيانات الطلب</t>
  </si>
  <si>
    <t>اسم المشروع / الطلب</t>
  </si>
  <si>
    <t>منصة شؤون الأراضي</t>
  </si>
  <si>
    <t>الإدارة الطالبة</t>
  </si>
  <si>
    <t>إدارة نظم المعلومات الجيو مكانية</t>
  </si>
  <si>
    <t>تاريخ التقديم</t>
  </si>
  <si>
    <t>مقدم الطلب</t>
  </si>
  <si>
    <t>أ/ سامي السلمي - رئيس قسم شؤون الأراضي</t>
  </si>
  <si>
    <t>نوع الطلب</t>
  </si>
  <si>
    <t>رقم مرجعي للطلب</t>
  </si>
  <si>
    <t>2. الهدف من الطلب</t>
  </si>
  <si>
    <t>توضيح المشكلة الحالية أو الحاجة التشغيلية والأثر المتوقع من تنفيذ الطلب.</t>
  </si>
  <si>
    <t xml:space="preserve">
</t>
  </si>
  <si>
    <t>3. المواءمة مع الأهداف الاستراتيجية</t>
  </si>
  <si>
    <t>مدى ارتباط الطلب بالركائز أو الأهداف الاستراتيجية المعتمدة في الهيئة.</t>
  </si>
  <si>
    <t>4. جاهزية الإدارة المعنية</t>
  </si>
  <si>
    <t>البيانات</t>
  </si>
  <si>
    <t>وجود مالك أعمال (Business Owner)</t>
  </si>
  <si>
    <t>توفر فريق داعم من الإدارة الطالبة</t>
  </si>
  <si>
    <t>الاستعداد للمشاركة في التحليل والاختبار والتشغيل</t>
  </si>
  <si>
    <t>5. آلية العمل والوثائق الداعمة</t>
  </si>
  <si>
    <t>توضيح الوثائق الداعمة:</t>
  </si>
  <si>
    <t>الإجراءات الحالية (As-Is)</t>
  </si>
  <si>
    <t>الإجراءات المستهدفة (To-Be)</t>
  </si>
  <si>
    <t>النماذج والتقارير ذات العلاقة</t>
  </si>
  <si>
    <t>أي وثائق داعمة للطلب</t>
  </si>
  <si>
    <t>6. الإقرار بدقة المعلومات</t>
  </si>
  <si>
    <t>أُقرّ أنا الموقّع أدناه بصحة واكتمال البيانات والمعلومات المدوّنة في هذا النموذج، وأن جميع المعلومات الواردة فيه دقيقة وتعكس الواقع الفعلي للطلب المقدَّم، ويُعدّ هذا الإقرار موافقةً رسمية على تقديم الطلب.
وللجهة المختصة في حال ثبوت عدم دقة البيانات المقدَّمة اتخاذ كافة الإجراءات اللازمة.</t>
  </si>
  <si>
    <t>التوقيع:</t>
  </si>
  <si>
    <t>شروط إلزامية قبل بدء التقييم</t>
  </si>
  <si>
    <t>إذا كانت إجابة أي بند هنا «لا»، يُعاد الطلب لمقدّمه لاستكمال المتطلبات قبل المتابعة للتقييم.</t>
  </si>
  <si>
    <t>البند</t>
  </si>
  <si>
    <t>متوفر؟</t>
  </si>
  <si>
    <t>إقرار رسمي من الإدارة الطالبة بصحة واكتمال البيانات المقدمة</t>
  </si>
  <si>
    <t>وجود مسؤول المشروع (Owner) محدد</t>
  </si>
  <si>
    <t>توضيح الإجراءات الحالية (As-Is) والمستهدفة (To-Be)</t>
  </si>
  <si>
    <t>توفر النماذج والتقارير والوثائق الداعمة ذات العلاقة</t>
  </si>
  <si>
    <t>نتيجة البوابة</t>
  </si>
  <si>
    <t>تقييم تقنية المعلومات (Technical Assessment)</t>
  </si>
  <si>
    <t>يتم تحديد مدى إمكانية تنفيذ الطلب من الناحية التقنية.</t>
  </si>
  <si>
    <t>تصنيف الطلب</t>
  </si>
  <si>
    <t>تصنيف الطلب:</t>
  </si>
  <si>
    <t>المحور الأول — الأثر التشغيلي</t>
  </si>
  <si>
    <t>العنصر</t>
  </si>
  <si>
    <t>مستوى التقييم</t>
  </si>
  <si>
    <t>الدرجة المستحقة</t>
  </si>
  <si>
    <t>الدرجة الكلية</t>
  </si>
  <si>
    <t>المبرر</t>
  </si>
  <si>
    <t>نطاق الاستفادة من الطلب</t>
  </si>
  <si>
    <t>عدد المستفيدين</t>
  </si>
  <si>
    <t>درجة تحسين الخدمة/العملية</t>
  </si>
  <si>
    <t>إجمالي  (الأثر التشغيلي)</t>
  </si>
  <si>
    <t>المحور الثاني — المواءمة الاستراتيجية</t>
  </si>
  <si>
    <t>ارتباط الطلب بالأهداف الاستراتيجية المعتمدة</t>
  </si>
  <si>
    <t>دعم هدف استراتيجي أو مبادرة واحدة</t>
  </si>
  <si>
    <t>دعم عدة أهداف أو مبادرات استراتيجية</t>
  </si>
  <si>
    <t>إجمالي (المواءمة الاستراتيجية)</t>
  </si>
  <si>
    <t>المحور الثالث — الجاهزية الفنية</t>
  </si>
  <si>
    <t>جاهزية البنية التحتية</t>
  </si>
  <si>
    <t>توفر البنية التحتية</t>
  </si>
  <si>
    <t>توفر الأنظمة الداعمة (في حال الحاجة)</t>
  </si>
  <si>
    <t>توفر الموارد التقنية</t>
  </si>
  <si>
    <t>التوافق الفني</t>
  </si>
  <si>
    <t>متوفر/متوافق؟</t>
  </si>
  <si>
    <t>يتوافق مع المعمارية التقنية</t>
  </si>
  <si>
    <t>لا يتعارض مع الأنظمة الحالية</t>
  </si>
  <si>
    <t>يمكن تنفيذه باستخدام الموارد التقنية</t>
  </si>
  <si>
    <t>البيانات اللازمة متوفرة</t>
  </si>
  <si>
    <t>التكامل مع الأنظمة الأخرى (في الحال الحاجة)</t>
  </si>
  <si>
    <t>يتوافق مع سياسات الأمن السيبراني وحوكمة البيانات</t>
  </si>
  <si>
    <t>إجمالي (الجاهزية الفنية)</t>
  </si>
  <si>
    <t>المحور الرابع — التأثير على الأنظمة الحالية والمخاطر</t>
  </si>
  <si>
    <t>المستوى</t>
  </si>
  <si>
    <t xml:space="preserve">تأثير الطلب على الأنظمة الحالية </t>
  </si>
  <si>
    <t>مستوى المخاطر التقنية والتشغيلية</t>
  </si>
  <si>
    <t>إجمالي خام (التأثير والمخاطر)</t>
  </si>
  <si>
    <t>حالة بوابة الاكتمال</t>
  </si>
  <si>
    <t>ملخص النقاط المرجّحة</t>
  </si>
  <si>
    <t>المحور</t>
  </si>
  <si>
    <t>الدرجة الخام</t>
  </si>
  <si>
    <t>الدرجة القصوى</t>
  </si>
  <si>
    <t>الوزن</t>
  </si>
  <si>
    <t>النقاط المرجّحة (من 100)</t>
  </si>
  <si>
    <t>التأثير على الأنظمة والمخاطر</t>
  </si>
  <si>
    <t>إجمالي النقاط (من 100)</t>
  </si>
  <si>
    <t>قرار قابلية التطبيق</t>
  </si>
  <si>
    <t>يُحدَّد هذا القرار بالاستناد لنتيجة محور «الجاهزية الفنية» ومحور «المخاطر»، وليس بدلاً للنقاط الإجمالية.</t>
  </si>
  <si>
    <t>ملاحظات وتوصية</t>
  </si>
  <si>
    <t>الاعتماد</t>
  </si>
  <si>
    <t>الجهة</t>
  </si>
  <si>
    <t>الاسم</t>
  </si>
  <si>
    <t>التوقيع</t>
  </si>
  <si>
    <t>التاريخ</t>
  </si>
  <si>
    <t>الأمن السيبراني</t>
  </si>
  <si>
    <t>تقنية المعلومات (المقيّم)</t>
  </si>
  <si>
    <t>المسؤول المختص / المخوّلة بالاعتماد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</si>
</sst>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22">
    <font>
      <sz val="11"/>
      <color theme="1"/>
      <name val="Calibri"/>
      <family val="2"/>
      <charset val="1"/>
    </font>
    <font>
      <b/>
      <sz val="16"/>
      <color rgb="FFFFFFFF"/>
      <name val="Arial"/>
      <charset val="1"/>
    </font>
    <font>
      <b/>
      <sz val="11"/>
      <color rgb="FF1F2937"/>
      <name val="Arial"/>
      <charset val="1"/>
    </font>
    <font>
      <sz val="11"/>
      <color rgb="FF1F2937"/>
      <name val="Arial"/>
      <charset val="1"/>
    </font>
    <font>
      <sz val="11"/>
      <color rgb="FF1F2937"/>
      <name val="Arial"/>
      <family val="2"/>
      <charset val="1"/>
    </font>
    <font>
      <b/>
      <sz val="11"/>
      <name val="Arial"/>
      <family val="2"/>
      <charset val="1"/>
    </font>
    <font>
      <b/>
      <sz val="13"/>
      <color rgb="FFFFFFFF"/>
      <name val="Arial"/>
      <charset val="1"/>
    </font>
    <font>
      <sz val="11"/>
      <color theme="1"/>
      <name val="Sakkal Majalla"/>
      <charset val="1"/>
    </font>
    <font>
      <i/>
      <sz val="9"/>
      <color rgb="FF6B7280"/>
      <name val="Sakkal Majalla"/>
      <charset val="1"/>
    </font>
    <font>
      <b/>
      <sz val="11"/>
      <color rgb="FF1F2937"/>
      <name val="Sakkal Majalla"/>
      <charset val="1"/>
    </font>
    <font>
      <sz val="11"/>
      <color rgb="FF1F2937"/>
      <name val="Sakkal Majalla"/>
      <charset val="1"/>
    </font>
    <font>
      <b/>
      <sz val="11"/>
      <color theme="0"/>
      <name val="Sakkal Majalla"/>
      <charset val="1"/>
    </font>
    <font>
      <b/>
      <sz val="14"/>
      <color rgb="FFFFFFFF"/>
      <name val="Sakkal Majalla"/>
      <charset val="1"/>
    </font>
    <font>
      <i/>
      <sz val="9"/>
      <color rgb="FF6B7280"/>
      <name val="Arial"/>
      <charset val="1"/>
    </font>
    <font>
      <b/>
      <sz val="13"/>
      <color theme="0"/>
      <name val="Sakkal Majalla"/>
      <charset val="1"/>
    </font>
    <font>
      <sz val="11"/>
      <color theme="0" tint="-0.499984740745262"/>
      <name val="Sakkal Majalla"/>
      <charset val="1"/>
    </font>
    <font>
      <b/>
      <sz val="12"/>
      <color theme="0"/>
      <name val="Sakkal Majalla"/>
      <charset val="1"/>
    </font>
    <font>
      <sz val="10"/>
      <name val="FreeSans"/>
      <family val="2"/>
    </font>
    <font>
      <sz val="10"/>
      <name val="Arial"/>
      <family val="2"/>
    </font>
    <font>
      <b/>
      <sz val="13"/>
      <color rgb="FFFFFFFF"/>
      <name val="Sakkal Majalla"/>
      <charset val="1"/>
    </font>
    <font>
      <b/>
      <sz val="11"/>
      <name val="Sakkal Majalla"/>
      <charset val="1"/>
    </font>
    <font>
      <b/>
      <sz val="11"/>
      <color rgb="FF1F2937"/>
      <name val="Sakkal Majalla"/>
    </font>
  </fonts>
  <fills count="9">
    <fill>
      <patternFill patternType="none"/>
    </fill>
    <fill>
      <patternFill patternType="gray125"/>
    </fill>
    <fill>
      <patternFill patternType="solid">
        <fgColor rgb="FF025948"/>
        <bgColor rgb="FF008080"/>
      </patternFill>
    </fill>
    <fill>
      <patternFill patternType="solid">
        <fgColor theme="0" tint="-0.14999847407452621"/>
        <bgColor rgb="FFFEE2E2"/>
      </patternFill>
    </fill>
    <fill>
      <patternFill patternType="solid">
        <fgColor rgb="FFFFFFFF"/>
        <bgColor rgb="FFF3F4F6"/>
      </patternFill>
    </fill>
    <fill>
      <patternFill patternType="solid">
        <fgColor theme="0" tint="-4.9989318521683403E-2"/>
        <bgColor rgb="FFF3F4F6"/>
      </patternFill>
    </fill>
    <fill>
      <patternFill patternType="solid">
        <fgColor rgb="FFFFF9C4"/>
        <bgColor rgb="FFFEF3C7"/>
      </patternFill>
    </fill>
    <fill>
      <patternFill patternType="solid">
        <fgColor rgb="FFF3F4F6"/>
        <bgColor rgb="FFF2F2F2"/>
      </patternFill>
    </fill>
    <fill>
      <patternFill patternType="solid">
        <fgColor rgb="FFFFF9C4"/>
        <bgColor rgb="FFF2F2F2"/>
      </patternFill>
    </fill>
  </fills>
  <borders count="30">
    <border>
      <left/>
      <right/>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0B7C3"/>
      </left>
      <right style="thin">
        <color rgb="FFB0B7C3"/>
      </right>
      <top/>
      <bottom style="thin">
        <color rgb="FFB0B7C3"/>
      </bottom>
      <diagonal/>
    </border>
    <border>
      <left style="thin">
        <color rgb="FFB0B7C3"/>
      </left>
      <right style="thin">
        <color rgb="FFB0B7C3"/>
      </right>
      <top style="thin">
        <color rgb="FFB0B7C3"/>
      </top>
      <bottom style="thin">
        <color rgb="FFB0B7C3"/>
      </bottom>
      <diagonal/>
    </border>
    <border>
      <left style="thin">
        <color rgb="FFB0B7C3"/>
      </left>
      <right/>
      <top style="thin">
        <color rgb="FFB0B7C3"/>
      </top>
      <bottom style="thin">
        <color rgb="FFB0B7C3"/>
      </bottom>
      <diagonal/>
    </border>
    <border>
      <left style="thin">
        <color theme="0" tint="-0.34998626667073579"/>
      </left>
      <right style="thin">
        <color theme="0" tint="-0.34998626667073579"/>
      </right>
      <top style="thin">
        <color rgb="FFB0B7C3"/>
      </top>
      <bottom style="thin">
        <color theme="0" tint="-0.34998626667073579"/>
      </bottom>
      <diagonal/>
    </border>
    <border>
      <left style="thin">
        <color rgb="FFB0B7C3"/>
      </left>
      <right style="thin">
        <color theme="0" tint="-0.34998626667073579"/>
      </right>
      <top style="thin">
        <color rgb="FFB0B7C3"/>
      </top>
      <bottom style="thin">
        <color rgb="FFB0B7C3"/>
      </bottom>
      <diagonal/>
    </border>
    <border>
      <left style="thin">
        <color theme="0" tint="-0.34998626667073579"/>
      </left>
      <right/>
      <top style="thin">
        <color theme="0" tint="-0.34998626667073579"/>
      </top>
      <bottom style="thin">
        <color rgb="FFB0B7C3"/>
      </bottom>
      <diagonal/>
    </border>
    <border>
      <left/>
      <right style="thin">
        <color theme="0" tint="-0.34998626667073579"/>
      </right>
      <top style="thin">
        <color theme="0" tint="-0.34998626667073579"/>
      </top>
      <bottom style="thin">
        <color rgb="FFB0B7C3"/>
      </bottom>
      <diagonal/>
    </border>
    <border>
      <left style="thin">
        <color theme="0" tint="-0.34998626667073579"/>
      </left>
      <right style="thin">
        <color rgb="FFB0B7C3"/>
      </right>
      <top style="thin">
        <color rgb="FFB0B7C3"/>
      </top>
      <bottom style="thin">
        <color rgb="FFB0B7C3"/>
      </bottom>
      <diagonal/>
    </border>
    <border>
      <left style="thin">
        <color theme="0" tint="-0.34998626667073579"/>
      </left>
      <right style="thin">
        <color rgb="FFB0B7C3"/>
      </right>
      <top style="thin">
        <color rgb="FFB0B7C3"/>
      </top>
      <bottom style="thin">
        <color theme="0" tint="-0.34998626667073579"/>
      </bottom>
      <diagonal/>
    </border>
    <border>
      <left style="thin">
        <color rgb="FFB0B7C3"/>
      </left>
      <right style="thin">
        <color rgb="FFB0B7C3"/>
      </right>
      <top style="thin">
        <color rgb="FFB0B7C3"/>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rgb="FFB0B7C3"/>
      </right>
      <top style="thin">
        <color theme="0" tint="-0.34998626667073579"/>
      </top>
      <bottom style="thin">
        <color rgb="FFB0B7C3"/>
      </bottom>
      <diagonal/>
    </border>
    <border>
      <left style="thin">
        <color rgb="FFB0B7C3"/>
      </left>
      <right style="thin">
        <color rgb="FFB0B7C3"/>
      </right>
      <top style="thin">
        <color theme="0" tint="-0.34998626667073579"/>
      </top>
      <bottom style="thin">
        <color rgb="FFB0B7C3"/>
      </bottom>
      <diagonal/>
    </border>
    <border>
      <left style="thin">
        <color rgb="FFB0B7C3"/>
      </left>
      <right style="thin">
        <color theme="0" tint="-0.34998626667073579"/>
      </right>
      <top style="thin">
        <color theme="0" tint="-0.34998626667073579"/>
      </top>
      <bottom style="thin">
        <color rgb="FFB0B7C3"/>
      </bottom>
      <diagonal/>
    </border>
    <border>
      <left style="thin">
        <color rgb="FFB0B7C3"/>
      </left>
      <right style="thin">
        <color theme="0" tint="-0.34998626667073579"/>
      </right>
      <top style="thin">
        <color rgb="FFB0B7C3"/>
      </top>
      <bottom style="thin">
        <color theme="0" tint="-0.34998626667073579"/>
      </bottom>
      <diagonal/>
    </border>
    <border>
      <left/>
      <right/>
      <top/>
      <bottom style="thin">
        <color theme="0" tint="-0.34998626667073579"/>
      </bottom>
      <diagonal/>
    </border>
    <border>
      <left style="thin">
        <color theme="0" tint="-0.34998626667073579"/>
      </left>
      <right/>
      <top/>
      <bottom style="thin">
        <color theme="0" tint="-0.34998626667073579"/>
      </bottom>
      <diagonal/>
    </border>
    <border>
      <left/>
      <right/>
      <top style="thin">
        <color theme="0" tint="-0.34998626667073579"/>
      </top>
      <bottom/>
      <diagonal/>
    </border>
    <border>
      <left style="thin">
        <color rgb="FFB0B7C3"/>
      </left>
      <right style="thin">
        <color rgb="FFB0B7C3"/>
      </right>
      <top style="thin">
        <color rgb="FFB0B7C3"/>
      </top>
      <bottom/>
      <diagonal/>
    </border>
    <border>
      <left/>
      <right style="thin">
        <color rgb="FFB0B7C3"/>
      </right>
      <top style="thin">
        <color rgb="FFB0B7C3"/>
      </top>
      <bottom style="thin">
        <color rgb="FFB0B7C3"/>
      </bottom>
      <diagonal/>
    </border>
    <border>
      <left style="thin">
        <color rgb="FFB0B7C3"/>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98">
    <xf numFmtId="0" fontId="0" fillId="0" borderId="0" xfId="0"/>
    <xf numFmtId="0" fontId="10" fillId="6" borderId="16"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3" fillId="0" borderId="0" xfId="0" applyFont="1" applyAlignment="1">
      <alignment horizontal="right" vertical="center" wrapText="1"/>
    </xf>
    <xf numFmtId="0" fontId="0" fillId="0" borderId="2" xfId="0" applyBorder="1"/>
    <xf numFmtId="0" fontId="0" fillId="0" borderId="3" xfId="0" applyBorder="1"/>
    <xf numFmtId="0" fontId="7" fillId="0" borderId="0" xfId="0" applyFont="1"/>
    <xf numFmtId="0" fontId="8" fillId="0" borderId="0" xfId="0" applyFont="1" applyAlignment="1">
      <alignment vertical="center" wrapText="1"/>
    </xf>
    <xf numFmtId="0" fontId="9" fillId="5" borderId="8" xfId="0" applyFont="1" applyFill="1" applyBorder="1" applyAlignment="1">
      <alignment horizontal="center" vertical="center" wrapText="1"/>
    </xf>
    <xf numFmtId="0" fontId="10" fillId="4" borderId="8" xfId="0" applyFont="1" applyFill="1" applyBorder="1" applyAlignment="1">
      <alignment horizontal="right" vertical="center" wrapText="1"/>
    </xf>
    <xf numFmtId="0" fontId="8" fillId="4" borderId="8" xfId="0" applyFont="1" applyFill="1" applyBorder="1" applyAlignment="1">
      <alignment horizontal="right" vertical="center" wrapText="1"/>
    </xf>
    <xf numFmtId="0" fontId="9" fillId="5" borderId="8" xfId="0" applyFont="1" applyFill="1" applyBorder="1" applyAlignment="1">
      <alignment horizontal="right" vertical="center" wrapText="1"/>
    </xf>
    <xf numFmtId="0" fontId="9" fillId="7" borderId="8"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6" xfId="0" applyFont="1" applyBorder="1" applyAlignment="1">
      <alignment horizontal="right" vertical="center" wrapText="1"/>
    </xf>
    <xf numFmtId="0" fontId="10" fillId="0" borderId="6" xfId="0" applyFont="1" applyBorder="1" applyAlignment="1">
      <alignment horizontal="right" vertical="center" wrapText="1" readingOrder="2"/>
    </xf>
    <xf numFmtId="0" fontId="7" fillId="0" borderId="6" xfId="0" applyFont="1" applyBorder="1"/>
    <xf numFmtId="0" fontId="9" fillId="5" borderId="9" xfId="0" applyFont="1" applyFill="1" applyBorder="1" applyAlignment="1">
      <alignment horizontal="right" vertical="center" wrapText="1"/>
    </xf>
    <xf numFmtId="0" fontId="14" fillId="2" borderId="12" xfId="0" applyFont="1" applyFill="1" applyBorder="1" applyAlignment="1">
      <alignment horizontal="right" vertical="center" readingOrder="2"/>
    </xf>
    <xf numFmtId="0" fontId="10" fillId="4" borderId="14" xfId="0" applyFont="1" applyFill="1" applyBorder="1" applyAlignment="1">
      <alignment horizontal="right" vertical="center" wrapText="1"/>
    </xf>
    <xf numFmtId="0" fontId="10" fillId="4" borderId="15" xfId="0" applyFont="1" applyFill="1" applyBorder="1" applyAlignment="1">
      <alignment horizontal="right" vertical="center" wrapText="1"/>
    </xf>
    <xf numFmtId="0" fontId="16" fillId="2" borderId="17" xfId="0" applyFont="1" applyFill="1" applyBorder="1" applyAlignment="1">
      <alignment horizontal="right" vertical="center" readingOrder="2"/>
    </xf>
    <xf numFmtId="0" fontId="13" fillId="0" borderId="19" xfId="0" applyFont="1" applyBorder="1" applyAlignment="1">
      <alignment vertical="center" wrapText="1"/>
    </xf>
    <xf numFmtId="0" fontId="13" fillId="0" borderId="18" xfId="0" applyFont="1" applyBorder="1" applyAlignment="1">
      <alignment vertical="center" wrapText="1"/>
    </xf>
    <xf numFmtId="0" fontId="9" fillId="3" borderId="20" xfId="0" applyFont="1" applyFill="1" applyBorder="1" applyAlignment="1">
      <alignment horizontal="center" vertical="center" wrapText="1"/>
    </xf>
    <xf numFmtId="0" fontId="9" fillId="3" borderId="21" xfId="0" applyFont="1" applyFill="1" applyBorder="1" applyAlignment="1">
      <alignment horizontal="center" vertical="center" wrapText="1"/>
    </xf>
    <xf numFmtId="0" fontId="11" fillId="2" borderId="9" xfId="0" applyFont="1" applyFill="1" applyBorder="1" applyAlignment="1">
      <alignment horizontal="right" vertical="center" wrapText="1"/>
    </xf>
    <xf numFmtId="0" fontId="10" fillId="4" borderId="25" xfId="0" applyFont="1" applyFill="1" applyBorder="1" applyAlignment="1">
      <alignment vertical="center" wrapText="1"/>
    </xf>
    <xf numFmtId="0" fontId="20" fillId="3" borderId="8" xfId="0" applyFont="1" applyFill="1" applyBorder="1" applyAlignment="1">
      <alignment horizontal="center" vertical="center" wrapText="1"/>
    </xf>
    <xf numFmtId="0" fontId="10" fillId="6" borderId="8" xfId="0" applyFont="1" applyFill="1" applyBorder="1" applyAlignment="1">
      <alignment horizontal="right" vertical="center" wrapText="1"/>
    </xf>
    <xf numFmtId="0" fontId="10" fillId="7" borderId="8" xfId="0" applyFont="1" applyFill="1" applyBorder="1" applyAlignment="1">
      <alignment horizontal="center" vertical="center" wrapText="1"/>
    </xf>
    <xf numFmtId="0" fontId="10" fillId="4" borderId="27" xfId="0" applyFont="1" applyFill="1" applyBorder="1" applyAlignment="1">
      <alignment horizontal="right" vertical="center" wrapText="1"/>
    </xf>
    <xf numFmtId="0" fontId="10" fillId="6" borderId="27" xfId="0" applyFont="1" applyFill="1" applyBorder="1" applyAlignment="1">
      <alignment horizontal="right" vertical="center" wrapText="1"/>
    </xf>
    <xf numFmtId="0" fontId="9" fillId="7" borderId="28" xfId="0" applyFont="1" applyFill="1" applyBorder="1" applyAlignment="1">
      <alignment horizontal="center" vertical="center" wrapText="1"/>
    </xf>
    <xf numFmtId="0" fontId="20" fillId="3" borderId="7" xfId="0" applyFont="1" applyFill="1" applyBorder="1" applyAlignment="1">
      <alignment horizontal="center" vertical="center" wrapText="1"/>
    </xf>
    <xf numFmtId="0" fontId="10" fillId="7" borderId="27" xfId="0" applyFont="1" applyFill="1" applyBorder="1" applyAlignment="1">
      <alignment horizontal="center" vertical="center" wrapText="1"/>
    </xf>
    <xf numFmtId="0" fontId="20" fillId="3" borderId="14"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9" fillId="2" borderId="23" xfId="0" applyFont="1" applyFill="1" applyBorder="1" applyAlignment="1">
      <alignment horizontal="center" vertical="center" wrapText="1"/>
    </xf>
    <xf numFmtId="0" fontId="10" fillId="6" borderId="16" xfId="0" applyFont="1" applyFill="1" applyBorder="1" applyAlignment="1">
      <alignment horizontal="right" vertical="center" wrapText="1"/>
    </xf>
    <xf numFmtId="165" fontId="21" fillId="6" borderId="8" xfId="0" applyNumberFormat="1" applyFont="1" applyFill="1" applyBorder="1" applyAlignment="1">
      <alignment horizontal="center" vertical="center" wrapText="1"/>
    </xf>
    <xf numFmtId="0" fontId="14" fillId="2" borderId="6" xfId="0" applyFont="1" applyFill="1" applyBorder="1" applyAlignment="1">
      <alignment horizontal="right" vertical="center" readingOrder="2"/>
    </xf>
    <xf numFmtId="0" fontId="13" fillId="0" borderId="6" xfId="0" applyFont="1" applyBorder="1" applyAlignment="1">
      <alignment horizontal="right" vertical="center" wrapText="1"/>
    </xf>
    <xf numFmtId="0" fontId="0" fillId="0" borderId="0" xfId="0" applyAlignment="1">
      <alignment horizontal="center"/>
    </xf>
    <xf numFmtId="0" fontId="13" fillId="0" borderId="4" xfId="0" applyFont="1" applyBorder="1" applyAlignment="1">
      <alignment horizontal="right" vertical="center" wrapText="1"/>
    </xf>
    <xf numFmtId="0" fontId="10" fillId="6" borderId="8" xfId="0" applyFont="1" applyFill="1" applyBorder="1" applyAlignment="1">
      <alignment horizontal="center" vertical="center" wrapText="1"/>
    </xf>
    <xf numFmtId="0" fontId="10" fillId="6" borderId="16" xfId="0" applyFont="1" applyFill="1" applyBorder="1" applyAlignment="1">
      <alignment horizontal="center" vertical="center" wrapText="1"/>
    </xf>
    <xf numFmtId="0" fontId="14" fillId="2" borderId="13" xfId="0" applyFont="1" applyFill="1" applyBorder="1" applyAlignment="1">
      <alignment horizontal="center" vertical="center" readingOrder="2"/>
    </xf>
    <xf numFmtId="0" fontId="16" fillId="2" borderId="18" xfId="0" applyFont="1" applyFill="1" applyBorder="1" applyAlignment="1">
      <alignment horizontal="center" readingOrder="2"/>
    </xf>
    <xf numFmtId="0" fontId="13" fillId="0" borderId="0" xfId="0" applyFont="1" applyAlignment="1">
      <alignment horizontal="right" vertical="center" wrapText="1"/>
    </xf>
    <xf numFmtId="0" fontId="10" fillId="6" borderId="6" xfId="0" applyFont="1" applyFill="1" applyBorder="1" applyAlignment="1">
      <alignment horizontal="right" vertical="top" wrapText="1"/>
    </xf>
    <xf numFmtId="164" fontId="15" fillId="6" borderId="10" xfId="0" applyNumberFormat="1" applyFont="1" applyFill="1" applyBorder="1" applyAlignment="1">
      <alignment horizontal="right" vertical="center" wrapText="1"/>
    </xf>
    <xf numFmtId="0" fontId="15" fillId="6" borderId="10" xfId="0" applyFont="1" applyFill="1" applyBorder="1" applyAlignment="1">
      <alignment horizontal="right" vertical="center" wrapText="1"/>
    </xf>
    <xf numFmtId="0" fontId="21" fillId="8" borderId="11" xfId="0" applyFont="1" applyFill="1" applyBorder="1" applyAlignment="1">
      <alignment horizontal="right" vertical="center" wrapText="1"/>
    </xf>
    <xf numFmtId="0" fontId="12" fillId="2" borderId="0" xfId="0" applyFont="1" applyFill="1" applyAlignment="1">
      <alignment horizontal="center" vertical="center"/>
    </xf>
    <xf numFmtId="0" fontId="2" fillId="4" borderId="8" xfId="0" applyFont="1" applyFill="1" applyBorder="1" applyAlignment="1">
      <alignment horizontal="right" vertical="center" wrapText="1"/>
    </xf>
    <xf numFmtId="0" fontId="3" fillId="4" borderId="8" xfId="0" applyFont="1" applyFill="1" applyBorder="1" applyAlignment="1">
      <alignment horizontal="right" vertical="center" wrapText="1"/>
    </xf>
    <xf numFmtId="0" fontId="2" fillId="4" borderId="7" xfId="0" applyFont="1" applyFill="1" applyBorder="1" applyAlignment="1">
      <alignment horizontal="right" vertical="center" wrapText="1"/>
    </xf>
    <xf numFmtId="0" fontId="3" fillId="4" borderId="7" xfId="0" applyFont="1" applyFill="1" applyBorder="1" applyAlignment="1">
      <alignment horizontal="right" vertical="center" wrapText="1"/>
    </xf>
    <xf numFmtId="0" fontId="2" fillId="0" borderId="4" xfId="0" applyFont="1" applyBorder="1" applyAlignment="1">
      <alignment horizontal="right" vertical="center" wrapText="1" readingOrder="2"/>
    </xf>
    <xf numFmtId="0" fontId="3" fillId="0" borderId="4" xfId="0" applyFont="1" applyBorder="1" applyAlignment="1">
      <alignment horizontal="right" vertical="top" wrapText="1" readingOrder="2"/>
    </xf>
    <xf numFmtId="0" fontId="0" fillId="0" borderId="4" xfId="0" applyBorder="1" applyAlignment="1">
      <alignment horizontal="center" readingOrder="2"/>
    </xf>
    <xf numFmtId="0" fontId="4" fillId="0" borderId="5" xfId="0" applyFont="1" applyBorder="1" applyAlignment="1">
      <alignment horizontal="right" vertical="top" wrapText="1" readingOrder="2"/>
    </xf>
    <xf numFmtId="0" fontId="4" fillId="0" borderId="4" xfId="0" applyFont="1" applyBorder="1" applyAlignment="1">
      <alignment horizontal="right" vertical="top" wrapText="1" readingOrder="2"/>
    </xf>
    <xf numFmtId="0" fontId="1" fillId="2" borderId="1" xfId="0" applyFont="1" applyFill="1" applyBorder="1" applyAlignment="1">
      <alignment horizontal="center" vertical="center" wrapText="1"/>
    </xf>
    <xf numFmtId="0" fontId="6" fillId="2" borderId="0" xfId="0" applyFont="1" applyFill="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right" vertical="center" wrapText="1"/>
    </xf>
    <xf numFmtId="0" fontId="11" fillId="2" borderId="6" xfId="0" applyFont="1" applyFill="1" applyBorder="1" applyAlignment="1">
      <alignment vertical="center"/>
    </xf>
    <xf numFmtId="0" fontId="11" fillId="2" borderId="6" xfId="0" applyFont="1" applyFill="1" applyBorder="1" applyAlignment="1">
      <alignment horizontal="right" vertical="center"/>
    </xf>
    <xf numFmtId="0" fontId="10" fillId="4" borderId="11" xfId="0" applyFont="1" applyFill="1" applyBorder="1" applyAlignment="1">
      <alignment horizontal="right" vertical="center" wrapText="1"/>
    </xf>
    <xf numFmtId="0" fontId="10" fillId="4" borderId="23" xfId="0" applyFont="1" applyFill="1" applyBorder="1" applyAlignment="1">
      <alignment horizontal="right" vertical="center" wrapText="1"/>
    </xf>
    <xf numFmtId="0" fontId="9" fillId="4" borderId="6" xfId="0" applyFont="1" applyFill="1" applyBorder="1" applyAlignment="1">
      <alignment horizontal="center" vertical="center" wrapText="1"/>
    </xf>
    <xf numFmtId="0" fontId="19" fillId="2" borderId="0" xfId="0" applyFont="1" applyFill="1" applyAlignment="1">
      <alignment horizontal="center" vertical="center"/>
    </xf>
    <xf numFmtId="0" fontId="9" fillId="3" borderId="22" xfId="0" applyFont="1" applyFill="1" applyBorder="1" applyAlignment="1">
      <alignment horizontal="center" vertical="center" wrapText="1"/>
    </xf>
    <xf numFmtId="0" fontId="9" fillId="7" borderId="6" xfId="0" applyFont="1" applyFill="1" applyBorder="1" applyAlignment="1">
      <alignment horizontal="right" vertical="center" wrapText="1"/>
    </xf>
    <xf numFmtId="0" fontId="7" fillId="0" borderId="0" xfId="0" applyFont="1" applyAlignment="1">
      <alignment horizontal="center"/>
    </xf>
    <xf numFmtId="0" fontId="7" fillId="0" borderId="26" xfId="0" applyFont="1" applyBorder="1" applyAlignment="1">
      <alignment horizontal="center"/>
    </xf>
    <xf numFmtId="0" fontId="12" fillId="2" borderId="0" xfId="0" applyFont="1" applyFill="1" applyAlignment="1">
      <alignment horizontal="center"/>
    </xf>
    <xf numFmtId="0" fontId="7" fillId="0" borderId="24" xfId="0" applyFont="1" applyBorder="1" applyAlignment="1">
      <alignment horizontal="center"/>
    </xf>
    <xf numFmtId="0" fontId="20" fillId="3" borderId="6" xfId="0" applyFont="1" applyFill="1" applyBorder="1" applyAlignment="1">
      <alignment horizontal="right" readingOrder="2"/>
    </xf>
    <xf numFmtId="0" fontId="10" fillId="6" borderId="6" xfId="0" applyFont="1" applyFill="1" applyBorder="1" applyAlignment="1">
      <alignment horizontal="center" vertical="center" wrapText="1"/>
    </xf>
    <xf numFmtId="0" fontId="10" fillId="6" borderId="11" xfId="0" applyFont="1" applyFill="1" applyBorder="1" applyAlignment="1">
      <alignment horizontal="center" vertical="center" wrapText="1"/>
    </xf>
    <xf numFmtId="0" fontId="10" fillId="6" borderId="11" xfId="0" applyFont="1" applyFill="1" applyBorder="1" applyAlignment="1">
      <alignment horizontal="right" vertical="center" wrapText="1"/>
    </xf>
    <xf numFmtId="0" fontId="10" fillId="6" borderId="23" xfId="0" applyFont="1" applyFill="1" applyBorder="1" applyAlignment="1">
      <alignment horizontal="right" vertical="center" wrapText="1"/>
    </xf>
    <xf numFmtId="0" fontId="20" fillId="3" borderId="8" xfId="0" applyFont="1" applyFill="1" applyBorder="1" applyAlignment="1">
      <alignment horizontal="center" vertical="center" wrapText="1"/>
    </xf>
    <xf numFmtId="0" fontId="9" fillId="7" borderId="17" xfId="0" applyFont="1" applyFill="1" applyBorder="1" applyAlignment="1">
      <alignment horizontal="right" vertical="center" wrapText="1"/>
    </xf>
    <xf numFmtId="0" fontId="9" fillId="4" borderId="29" xfId="0" applyFont="1" applyFill="1" applyBorder="1" applyAlignment="1">
      <alignment horizontal="center" vertical="center" wrapText="1"/>
    </xf>
    <xf numFmtId="0" fontId="10" fillId="6" borderId="29" xfId="0" applyFont="1" applyFill="1" applyBorder="1" applyAlignment="1">
      <alignment horizontal="center" vertical="center" wrapText="1"/>
    </xf>
    <xf numFmtId="0" fontId="9" fillId="7" borderId="15" xfId="0" applyFont="1" applyFill="1" applyBorder="1" applyAlignment="1">
      <alignment horizontal="center" vertical="center" wrapText="1"/>
    </xf>
    <xf numFmtId="0" fontId="5" fillId="3" borderId="6" xfId="0" applyFont="1" applyFill="1" applyBorder="1" applyAlignment="1"/>
    <xf numFmtId="0" fontId="19" fillId="2" borderId="0" xfId="0" applyFont="1" applyFill="1" applyAlignment="1"/>
    <xf numFmtId="0" fontId="20" fillId="3" borderId="6" xfId="0" applyFont="1" applyFill="1" applyBorder="1" applyAlignment="1"/>
    <xf numFmtId="0" fontId="11" fillId="2" borderId="1" xfId="0" applyFont="1" applyFill="1" applyBorder="1" applyAlignment="1"/>
    <xf numFmtId="0" fontId="11" fillId="2" borderId="6" xfId="0" applyFont="1" applyFill="1" applyBorder="1" applyAlignment="1"/>
  </cellXfs>
  <cellStyles count="1">
    <cellStyle name="Normal" xfId="0" builtinId="0"/>
  </cellStyles>
  <dxfs count="7">
    <dxf>
      <fill>
        <patternFill>
          <bgColor rgb="FFFEE2E2"/>
        </patternFill>
      </fill>
    </dxf>
    <dxf>
      <fill>
        <patternFill>
          <bgColor rgb="FFFEF3C7"/>
        </patternFill>
      </fill>
    </dxf>
    <dxf>
      <fill>
        <patternFill>
          <bgColor rgb="FFE8F5E9"/>
        </patternFill>
      </fill>
    </dxf>
    <dxf>
      <fill>
        <patternFill>
          <bgColor rgb="FFE8F5E9"/>
        </patternFill>
      </fill>
    </dxf>
    <dxf>
      <fill>
        <patternFill>
          <bgColor rgb="FFFEE2E2"/>
        </patternFill>
      </fill>
    </dxf>
    <dxf>
      <fill>
        <patternFill>
          <bgColor rgb="FFE8F5E9"/>
        </patternFill>
      </fill>
    </dxf>
    <dxf>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7C3"/>
      <rgbColor rgb="FF808080"/>
      <rgbColor rgb="FF9999FF"/>
      <rgbColor rgb="FF993366"/>
      <rgbColor rgb="FFFFF9C4"/>
      <rgbColor rgb="FFE8F5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3F4F6"/>
      <rgbColor rgb="FFF2F2F2"/>
      <rgbColor rgb="FFFEF3C7"/>
      <rgbColor rgb="FF99CCFF"/>
      <rgbColor rgb="FFFF99CC"/>
      <rgbColor rgb="FFCC99FF"/>
      <rgbColor rgb="FFFEE2E2"/>
      <rgbColor rgb="FF3366FF"/>
      <rgbColor rgb="FF33CCCC"/>
      <rgbColor rgb="FF99CC00"/>
      <rgbColor rgb="FFFFCC00"/>
      <rgbColor rgb="FFFF9900"/>
      <rgbColor rgb="FFFF6600"/>
      <rgbColor rgb="FF6B7280"/>
      <rgbColor rgb="FFA6A6A6"/>
      <rgbColor rgb="FF025948"/>
      <rgbColor rgb="FF339966"/>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mruColors>
      <color rgb="FFFFF9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2"/>
  <sheetViews>
    <sheetView showGridLines="0" rightToLeft="1" view="pageBreakPreview" zoomScale="67" zoomScaleNormal="100" zoomScalePageLayoutView="67" workbookViewId="0">
      <selection activeCell="B10" sqref="B10"/>
    </sheetView>
  </sheetViews>
  <sheetFormatPr defaultColWidth="8.5703125" defaultRowHeight="14.45"/>
  <cols>
    <col min="1" max="1" width="3" customWidth="1"/>
    <col min="2" max="2" width="18" customWidth="1"/>
    <col min="3" max="8" width="16" customWidth="1"/>
    <col min="9" max="9" width="3.5703125" customWidth="1"/>
  </cols>
  <sheetData>
    <row r="2" spans="2:8" ht="18.75" customHeight="1">
      <c r="B2" s="67" t="s">
        <v>0</v>
      </c>
      <c r="C2" s="67"/>
      <c r="D2" s="67"/>
      <c r="E2" s="67"/>
      <c r="F2" s="67"/>
      <c r="G2" s="67"/>
      <c r="H2" s="67"/>
    </row>
    <row r="3" spans="2:8" ht="18.75" customHeight="1">
      <c r="B3" s="67"/>
      <c r="C3" s="67"/>
      <c r="D3" s="67"/>
      <c r="E3" s="67"/>
      <c r="F3" s="67"/>
      <c r="G3" s="67"/>
      <c r="H3" s="67"/>
    </row>
    <row r="4" spans="2:8">
      <c r="B4" s="4"/>
      <c r="H4" s="5"/>
    </row>
    <row r="5" spans="2:8" ht="15" customHeight="1">
      <c r="B5" s="62" t="s">
        <v>1</v>
      </c>
      <c r="C5" s="62"/>
      <c r="D5" s="62"/>
      <c r="E5" s="62"/>
      <c r="F5" s="62"/>
      <c r="G5" s="62"/>
      <c r="H5" s="62"/>
    </row>
    <row r="6" spans="2:8" ht="15" customHeight="1">
      <c r="B6" s="63" t="s">
        <v>2</v>
      </c>
      <c r="C6" s="63"/>
      <c r="D6" s="63"/>
      <c r="E6" s="63"/>
      <c r="F6" s="63"/>
      <c r="G6" s="63"/>
      <c r="H6" s="63"/>
    </row>
    <row r="7" spans="2:8">
      <c r="B7" s="63"/>
      <c r="C7" s="63"/>
      <c r="D7" s="63"/>
      <c r="E7" s="63"/>
      <c r="F7" s="63"/>
      <c r="G7" s="63"/>
      <c r="H7" s="63"/>
    </row>
    <row r="8" spans="2:8">
      <c r="B8" s="64"/>
      <c r="C8" s="64"/>
      <c r="D8" s="64"/>
      <c r="E8" s="64"/>
      <c r="F8" s="64"/>
      <c r="G8" s="64"/>
      <c r="H8" s="64"/>
    </row>
    <row r="9" spans="2:8" ht="15" customHeight="1">
      <c r="B9" s="62" t="s">
        <v>3</v>
      </c>
      <c r="C9" s="62"/>
      <c r="D9" s="62"/>
      <c r="E9" s="62"/>
      <c r="F9" s="62"/>
      <c r="G9" s="62"/>
      <c r="H9" s="62"/>
    </row>
    <row r="10" spans="2:8" ht="15" customHeight="1">
      <c r="B10" s="66" t="s">
        <v>4</v>
      </c>
      <c r="C10" s="66"/>
      <c r="D10" s="66"/>
      <c r="E10" s="66"/>
      <c r="F10" s="66"/>
      <c r="G10" s="66"/>
      <c r="H10" s="66"/>
    </row>
    <row r="11" spans="2:8" ht="57.75" customHeight="1">
      <c r="B11" s="66"/>
      <c r="C11" s="66"/>
      <c r="D11" s="66"/>
      <c r="E11" s="66"/>
      <c r="F11" s="66"/>
      <c r="G11" s="66"/>
      <c r="H11" s="66"/>
    </row>
    <row r="12" spans="2:8">
      <c r="B12" s="64"/>
      <c r="C12" s="64"/>
      <c r="D12" s="64"/>
      <c r="E12" s="64"/>
      <c r="F12" s="64"/>
      <c r="G12" s="64"/>
      <c r="H12" s="64"/>
    </row>
    <row r="13" spans="2:8" ht="15" customHeight="1">
      <c r="B13" s="62" t="s">
        <v>5</v>
      </c>
      <c r="C13" s="62"/>
      <c r="D13" s="62"/>
      <c r="E13" s="62"/>
      <c r="F13" s="62"/>
      <c r="G13" s="62"/>
      <c r="H13" s="62"/>
    </row>
    <row r="14" spans="2:8" ht="15" customHeight="1">
      <c r="B14" s="63" t="s">
        <v>6</v>
      </c>
      <c r="C14" s="63"/>
      <c r="D14" s="63"/>
      <c r="E14" s="63"/>
      <c r="F14" s="63"/>
      <c r="G14" s="63"/>
      <c r="H14" s="63"/>
    </row>
    <row r="15" spans="2:8">
      <c r="B15" s="63"/>
      <c r="C15" s="63"/>
      <c r="D15" s="63"/>
      <c r="E15" s="63"/>
      <c r="F15" s="63"/>
      <c r="G15" s="63"/>
      <c r="H15" s="63"/>
    </row>
    <row r="16" spans="2:8">
      <c r="B16" s="64"/>
      <c r="C16" s="64"/>
      <c r="D16" s="64"/>
      <c r="E16" s="64"/>
      <c r="F16" s="64"/>
      <c r="G16" s="64"/>
      <c r="H16" s="64"/>
    </row>
    <row r="17" spans="2:8" ht="15" customHeight="1">
      <c r="B17" s="62" t="s">
        <v>7</v>
      </c>
      <c r="C17" s="62"/>
      <c r="D17" s="62"/>
      <c r="E17" s="62"/>
      <c r="F17" s="62"/>
      <c r="G17" s="62"/>
      <c r="H17" s="62"/>
    </row>
    <row r="18" spans="2:8" ht="15" customHeight="1">
      <c r="B18" s="63" t="s">
        <v>8</v>
      </c>
      <c r="C18" s="63"/>
      <c r="D18" s="63"/>
      <c r="E18" s="63"/>
      <c r="F18" s="63"/>
      <c r="G18" s="63"/>
      <c r="H18" s="63"/>
    </row>
    <row r="19" spans="2:8">
      <c r="B19" s="63"/>
      <c r="C19" s="63"/>
      <c r="D19" s="63"/>
      <c r="E19" s="63"/>
      <c r="F19" s="63"/>
      <c r="G19" s="63"/>
      <c r="H19" s="63"/>
    </row>
    <row r="20" spans="2:8">
      <c r="B20" s="64"/>
      <c r="C20" s="64"/>
      <c r="D20" s="64"/>
      <c r="E20" s="64"/>
      <c r="F20" s="64"/>
      <c r="G20" s="64"/>
      <c r="H20" s="64"/>
    </row>
    <row r="21" spans="2:8" ht="15" customHeight="1">
      <c r="B21" s="62" t="s">
        <v>9</v>
      </c>
      <c r="C21" s="62"/>
      <c r="D21" s="62"/>
      <c r="E21" s="62"/>
      <c r="F21" s="62"/>
      <c r="G21" s="62"/>
      <c r="H21" s="62"/>
    </row>
    <row r="22" spans="2:8" ht="15" customHeight="1">
      <c r="B22" s="65" t="s">
        <v>10</v>
      </c>
      <c r="C22" s="65"/>
      <c r="D22" s="65"/>
      <c r="E22" s="65"/>
      <c r="F22" s="65"/>
      <c r="G22" s="65"/>
      <c r="H22" s="65"/>
    </row>
    <row r="23" spans="2:8">
      <c r="B23" s="65"/>
      <c r="C23" s="65"/>
      <c r="D23" s="65"/>
      <c r="E23" s="65"/>
      <c r="F23" s="65"/>
      <c r="G23" s="65"/>
      <c r="H23" s="65"/>
    </row>
    <row r="25" spans="2:8">
      <c r="B25" s="93" t="s">
        <v>11</v>
      </c>
      <c r="C25" s="93"/>
      <c r="D25" s="93"/>
      <c r="E25" s="93"/>
      <c r="F25" s="93"/>
      <c r="G25" s="93"/>
      <c r="H25" s="93"/>
    </row>
    <row r="26" spans="2:8" ht="15" customHeight="1">
      <c r="B26" s="60" t="s">
        <v>12</v>
      </c>
      <c r="C26" s="60"/>
      <c r="D26" s="61" t="s">
        <v>13</v>
      </c>
      <c r="E26" s="61"/>
      <c r="F26" s="61"/>
      <c r="G26" s="61"/>
      <c r="H26" s="61"/>
    </row>
    <row r="27" spans="2:8" ht="15" customHeight="1">
      <c r="B27" s="58" t="s">
        <v>14</v>
      </c>
      <c r="C27" s="58"/>
      <c r="D27" s="59" t="s">
        <v>15</v>
      </c>
      <c r="E27" s="59"/>
      <c r="F27" s="59"/>
      <c r="G27" s="59"/>
      <c r="H27" s="59"/>
    </row>
    <row r="28" spans="2:8" ht="15" customHeight="1">
      <c r="B28" s="58" t="s">
        <v>16</v>
      </c>
      <c r="C28" s="58"/>
      <c r="D28" s="59" t="s">
        <v>17</v>
      </c>
      <c r="E28" s="59"/>
      <c r="F28" s="59"/>
      <c r="G28" s="59"/>
      <c r="H28" s="59"/>
    </row>
    <row r="29" spans="2:8" ht="15" customHeight="1">
      <c r="B29" s="58" t="s">
        <v>18</v>
      </c>
      <c r="C29" s="58"/>
      <c r="D29" s="59" t="s">
        <v>19</v>
      </c>
      <c r="E29" s="59"/>
      <c r="F29" s="59"/>
      <c r="G29" s="59"/>
      <c r="H29" s="59"/>
    </row>
    <row r="30" spans="2:8" ht="15" customHeight="1">
      <c r="B30" s="58" t="s">
        <v>20</v>
      </c>
      <c r="C30" s="58"/>
      <c r="D30" s="59" t="s">
        <v>21</v>
      </c>
      <c r="E30" s="59"/>
      <c r="F30" s="59"/>
      <c r="G30" s="59"/>
      <c r="H30" s="59"/>
    </row>
    <row r="31" spans="2:8" ht="15" customHeight="1">
      <c r="B31" s="58" t="s">
        <v>22</v>
      </c>
      <c r="C31" s="58"/>
      <c r="D31" s="59" t="s">
        <v>23</v>
      </c>
      <c r="E31" s="59"/>
      <c r="F31" s="59"/>
      <c r="G31" s="59"/>
      <c r="H31" s="59"/>
    </row>
    <row r="32" spans="2:8" ht="19.5" customHeight="1"/>
  </sheetData>
  <mergeCells count="28">
    <mergeCell ref="B2:H3"/>
    <mergeCell ref="B5:H5"/>
    <mergeCell ref="B6:H7"/>
    <mergeCell ref="B8:H8"/>
    <mergeCell ref="B9:H9"/>
    <mergeCell ref="B10:H11"/>
    <mergeCell ref="B12:H12"/>
    <mergeCell ref="B13:H13"/>
    <mergeCell ref="B14:H15"/>
    <mergeCell ref="B16:H16"/>
    <mergeCell ref="B17:H17"/>
    <mergeCell ref="B18:H19"/>
    <mergeCell ref="B20:H20"/>
    <mergeCell ref="B21:H21"/>
    <mergeCell ref="B22:H23"/>
    <mergeCell ref="B25:H25"/>
    <mergeCell ref="B26:C26"/>
    <mergeCell ref="D26:H26"/>
    <mergeCell ref="B27:C27"/>
    <mergeCell ref="D27:H27"/>
    <mergeCell ref="B31:C31"/>
    <mergeCell ref="D31:H31"/>
    <mergeCell ref="B28:C28"/>
    <mergeCell ref="D28:H28"/>
    <mergeCell ref="B29:C29"/>
    <mergeCell ref="D29:H29"/>
    <mergeCell ref="B30:C30"/>
    <mergeCell ref="D30:H30"/>
  </mergeCells>
  <pageMargins left="0.75" right="0.75" top="1" bottom="1" header="0.511811023622047" footer="0.511811023622047"/>
  <pageSetup paperSize="9" scale="68"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5"/>
  <sheetViews>
    <sheetView showGridLines="0" rightToLeft="1" view="pageBreakPreview" topLeftCell="A3" zoomScaleNormal="85" workbookViewId="0">
      <selection activeCell="G9" sqref="G9"/>
    </sheetView>
  </sheetViews>
  <sheetFormatPr defaultColWidth="8.5703125" defaultRowHeight="14.45"/>
  <cols>
    <col min="1" max="1" width="3" customWidth="1"/>
    <col min="2" max="2" width="34" customWidth="1"/>
    <col min="3" max="3" width="20" customWidth="1"/>
    <col min="4" max="4" width="42" customWidth="1"/>
    <col min="5" max="5" width="33.140625" customWidth="1"/>
    <col min="6" max="6" width="16.5703125" customWidth="1"/>
    <col min="7" max="7" width="22.85546875" customWidth="1"/>
    <col min="8" max="8" width="15.85546875" customWidth="1"/>
    <col min="9" max="9" width="14.7109375" customWidth="1"/>
    <col min="10" max="10" width="29.42578125" customWidth="1"/>
    <col min="11" max="11" width="3.140625" customWidth="1"/>
    <col min="12" max="14" width="32" customWidth="1"/>
  </cols>
  <sheetData>
    <row r="2" spans="1:10" ht="24" customHeight="1">
      <c r="B2" s="68" t="s">
        <v>24</v>
      </c>
      <c r="C2" s="68"/>
      <c r="D2" s="68"/>
    </row>
    <row r="3" spans="1:10" ht="15" customHeight="1">
      <c r="A3" s="6"/>
      <c r="B3" s="69" t="s">
        <v>25</v>
      </c>
      <c r="C3" s="69"/>
      <c r="D3" s="69"/>
      <c r="E3" s="7"/>
      <c r="F3" s="7"/>
      <c r="G3" s="6"/>
      <c r="H3" s="6"/>
      <c r="I3" s="6"/>
      <c r="J3" s="6"/>
    </row>
    <row r="4" spans="1:10" ht="16.5" customHeight="1">
      <c r="A4" s="6"/>
      <c r="B4" s="6"/>
      <c r="C4" s="6"/>
      <c r="D4" s="6"/>
      <c r="E4" s="6"/>
      <c r="F4" s="6"/>
      <c r="G4" s="6"/>
      <c r="H4" s="6"/>
      <c r="I4" s="6"/>
      <c r="J4" s="6"/>
    </row>
    <row r="5" spans="1:10" ht="16.5" customHeight="1">
      <c r="A5" s="6"/>
      <c r="B5" s="8" t="s">
        <v>26</v>
      </c>
      <c r="C5" s="8" t="s">
        <v>27</v>
      </c>
      <c r="D5" s="8" t="s">
        <v>28</v>
      </c>
      <c r="E5" s="6"/>
      <c r="F5" s="6"/>
      <c r="G5" s="6"/>
      <c r="H5" s="6"/>
      <c r="I5" s="6"/>
      <c r="J5" s="6"/>
    </row>
    <row r="6" spans="1:10" ht="16.5" customHeight="1">
      <c r="A6" s="6"/>
      <c r="B6" s="9" t="s">
        <v>29</v>
      </c>
      <c r="C6" s="2">
        <v>30</v>
      </c>
      <c r="D6" s="10" t="s">
        <v>30</v>
      </c>
      <c r="E6" s="6"/>
      <c r="F6" s="6"/>
      <c r="G6" s="6"/>
      <c r="H6" s="6"/>
      <c r="I6" s="6"/>
      <c r="J6" s="6"/>
    </row>
    <row r="7" spans="1:10" ht="16.5" customHeight="1">
      <c r="A7" s="6"/>
      <c r="B7" s="9" t="s">
        <v>31</v>
      </c>
      <c r="C7" s="2">
        <v>20</v>
      </c>
      <c r="D7" s="10" t="s">
        <v>32</v>
      </c>
      <c r="E7" s="6"/>
      <c r="F7" s="6"/>
      <c r="G7" s="6"/>
      <c r="H7" s="6"/>
      <c r="I7" s="6"/>
      <c r="J7" s="6"/>
    </row>
    <row r="8" spans="1:10" ht="16.5" customHeight="1">
      <c r="A8" s="6"/>
      <c r="B8" s="9" t="s">
        <v>33</v>
      </c>
      <c r="C8" s="2">
        <v>25</v>
      </c>
      <c r="D8" s="10" t="s">
        <v>34</v>
      </c>
      <c r="E8" s="6"/>
      <c r="F8" s="6"/>
      <c r="G8" s="6"/>
      <c r="H8" s="6"/>
      <c r="I8" s="6"/>
      <c r="J8" s="6"/>
    </row>
    <row r="9" spans="1:10" ht="16.5" customHeight="1">
      <c r="A9" s="6"/>
      <c r="B9" s="9" t="s">
        <v>35</v>
      </c>
      <c r="C9" s="2">
        <v>25</v>
      </c>
      <c r="D9" s="10" t="s">
        <v>36</v>
      </c>
      <c r="E9" s="6"/>
      <c r="F9" s="6"/>
      <c r="G9" s="6"/>
      <c r="H9" s="6"/>
      <c r="I9" s="6"/>
      <c r="J9" s="6"/>
    </row>
    <row r="10" spans="1:10" ht="16.5" customHeight="1">
      <c r="A10" s="6"/>
      <c r="B10" s="11" t="s">
        <v>37</v>
      </c>
      <c r="C10" s="12">
        <f>SUM(C6:C9)</f>
        <v>100</v>
      </c>
      <c r="D10" s="6"/>
      <c r="E10" s="6"/>
      <c r="F10" s="6"/>
      <c r="G10" s="6"/>
      <c r="H10" s="6"/>
      <c r="I10" s="6"/>
      <c r="J10" s="6"/>
    </row>
    <row r="11" spans="1:10" ht="16.5" customHeight="1">
      <c r="A11" s="6"/>
      <c r="B11" s="6"/>
      <c r="C11" s="6"/>
      <c r="D11" s="6"/>
      <c r="E11" s="6"/>
      <c r="F11" s="6"/>
      <c r="G11" s="6"/>
      <c r="H11" s="6"/>
      <c r="I11" s="6"/>
      <c r="J11" s="6"/>
    </row>
    <row r="12" spans="1:10" ht="15" customHeight="1">
      <c r="A12" s="6"/>
      <c r="B12" s="70" t="s">
        <v>38</v>
      </c>
      <c r="C12" s="70"/>
      <c r="D12" s="70"/>
      <c r="E12" s="6"/>
      <c r="F12" s="6"/>
      <c r="G12" s="6"/>
      <c r="H12" s="6"/>
      <c r="I12" s="6"/>
      <c r="J12" s="6"/>
    </row>
    <row r="13" spans="1:10" ht="16.5" customHeight="1">
      <c r="A13" s="6"/>
      <c r="B13" s="6"/>
      <c r="C13" s="6"/>
      <c r="D13" s="6"/>
      <c r="E13" s="6"/>
      <c r="F13" s="6"/>
      <c r="G13" s="6"/>
      <c r="H13" s="6"/>
      <c r="I13" s="6"/>
      <c r="J13" s="6"/>
    </row>
    <row r="14" spans="1:10" ht="18.75" customHeight="1">
      <c r="A14" s="6"/>
      <c r="B14" s="71" t="s">
        <v>39</v>
      </c>
      <c r="C14" s="71"/>
      <c r="D14" s="71"/>
      <c r="E14" s="6"/>
      <c r="F14" s="6"/>
      <c r="G14" s="6"/>
      <c r="H14" s="6"/>
      <c r="I14" s="6"/>
      <c r="J14" s="6"/>
    </row>
    <row r="15" spans="1:10" ht="16.5" customHeight="1">
      <c r="A15" s="6"/>
      <c r="B15" s="13" t="s">
        <v>40</v>
      </c>
      <c r="C15" s="13" t="s">
        <v>41</v>
      </c>
      <c r="D15" s="13" t="s">
        <v>42</v>
      </c>
      <c r="E15" s="6"/>
      <c r="F15" s="6"/>
      <c r="G15" s="6"/>
      <c r="H15" s="6"/>
      <c r="I15" s="6"/>
      <c r="J15" s="6"/>
    </row>
    <row r="16" spans="1:10" ht="16.5" customHeight="1">
      <c r="A16" s="6"/>
      <c r="B16" s="9" t="s">
        <v>43</v>
      </c>
      <c r="C16" s="2">
        <v>80</v>
      </c>
      <c r="D16" s="2">
        <v>100</v>
      </c>
      <c r="E16" s="6"/>
      <c r="F16" s="6"/>
      <c r="G16" s="6"/>
      <c r="H16" s="6"/>
      <c r="I16" s="6"/>
      <c r="J16" s="6"/>
    </row>
    <row r="17" spans="1:10" ht="16.5" customHeight="1">
      <c r="A17" s="6"/>
      <c r="B17" s="9" t="s">
        <v>44</v>
      </c>
      <c r="C17" s="2">
        <v>60</v>
      </c>
      <c r="D17" s="2">
        <v>79.989999999999995</v>
      </c>
      <c r="E17" s="6"/>
      <c r="F17" s="6"/>
      <c r="G17" s="6"/>
      <c r="H17" s="6"/>
      <c r="I17" s="6"/>
      <c r="J17" s="6"/>
    </row>
    <row r="18" spans="1:10" ht="16.5" customHeight="1">
      <c r="A18" s="6"/>
      <c r="B18" s="9" t="s">
        <v>45</v>
      </c>
      <c r="C18" s="2">
        <v>0</v>
      </c>
      <c r="D18" s="2">
        <v>59.99</v>
      </c>
      <c r="E18" s="6"/>
      <c r="F18" s="6"/>
      <c r="G18" s="6"/>
      <c r="H18" s="6"/>
      <c r="I18" s="6"/>
      <c r="J18" s="6"/>
    </row>
    <row r="19" spans="1:10" ht="16.5" customHeight="1">
      <c r="A19" s="6"/>
      <c r="B19" s="6"/>
      <c r="C19" s="6"/>
      <c r="D19" s="6"/>
      <c r="E19" s="6"/>
      <c r="F19" s="6"/>
      <c r="G19" s="6"/>
      <c r="H19" s="6"/>
      <c r="I19" s="6"/>
      <c r="J19" s="6"/>
    </row>
    <row r="20" spans="1:10" ht="18" customHeight="1">
      <c r="A20" s="6"/>
      <c r="B20" s="72" t="s">
        <v>46</v>
      </c>
      <c r="C20" s="72"/>
      <c r="D20" s="72"/>
      <c r="E20" s="72"/>
      <c r="F20" s="72"/>
      <c r="G20" s="72"/>
      <c r="H20" s="72"/>
      <c r="I20" s="72"/>
      <c r="J20" s="72"/>
    </row>
    <row r="21" spans="1:10" ht="16.5" customHeight="1">
      <c r="A21" s="6"/>
      <c r="B21" s="14" t="s">
        <v>47</v>
      </c>
      <c r="C21" s="14" t="s">
        <v>48</v>
      </c>
      <c r="D21" s="14" t="s">
        <v>49</v>
      </c>
      <c r="E21" s="14" t="s">
        <v>50</v>
      </c>
      <c r="F21" s="14" t="s">
        <v>51</v>
      </c>
      <c r="G21" s="14" t="s">
        <v>52</v>
      </c>
      <c r="H21" s="14" t="s">
        <v>53</v>
      </c>
      <c r="I21" s="14" t="s">
        <v>54</v>
      </c>
      <c r="J21" s="14" t="s">
        <v>55</v>
      </c>
    </row>
    <row r="22" spans="1:10" ht="19.5" customHeight="1">
      <c r="A22" s="6"/>
      <c r="B22" s="15" t="s">
        <v>56</v>
      </c>
      <c r="C22" s="16" t="s">
        <v>57</v>
      </c>
      <c r="D22" s="16" t="s">
        <v>58</v>
      </c>
      <c r="E22" s="16" t="s">
        <v>59</v>
      </c>
      <c r="F22" s="16" t="s">
        <v>60</v>
      </c>
      <c r="G22" s="16" t="s">
        <v>61</v>
      </c>
      <c r="H22" s="16" t="s">
        <v>62</v>
      </c>
      <c r="I22" s="16" t="s">
        <v>63</v>
      </c>
      <c r="J22" s="16" t="s">
        <v>64</v>
      </c>
    </row>
    <row r="23" spans="1:10" ht="16.5" customHeight="1">
      <c r="A23" s="6"/>
      <c r="B23" s="15" t="s">
        <v>65</v>
      </c>
      <c r="C23" s="16" t="s">
        <v>66</v>
      </c>
      <c r="D23" s="17" t="s">
        <v>67</v>
      </c>
      <c r="E23" s="16" t="s">
        <v>68</v>
      </c>
      <c r="F23" s="16" t="s">
        <v>69</v>
      </c>
      <c r="G23" s="16" t="s">
        <v>70</v>
      </c>
      <c r="H23" s="16" t="s">
        <v>71</v>
      </c>
      <c r="I23" s="16" t="s">
        <v>72</v>
      </c>
      <c r="J23" s="16" t="s">
        <v>73</v>
      </c>
    </row>
    <row r="24" spans="1:10" ht="18" customHeight="1">
      <c r="A24" s="6"/>
      <c r="B24" s="18"/>
      <c r="C24" s="16" t="s">
        <v>74</v>
      </c>
      <c r="D24" s="16" t="s">
        <v>75</v>
      </c>
      <c r="E24" s="16" t="s">
        <v>76</v>
      </c>
      <c r="F24" s="16" t="s">
        <v>77</v>
      </c>
      <c r="G24" s="16" t="s">
        <v>78</v>
      </c>
      <c r="H24" s="16" t="s">
        <v>79</v>
      </c>
      <c r="I24" s="16" t="s">
        <v>80</v>
      </c>
      <c r="J24" s="16" t="s">
        <v>81</v>
      </c>
    </row>
    <row r="25" spans="1:10" ht="18" customHeight="1">
      <c r="A25" s="6"/>
      <c r="B25" s="18"/>
      <c r="C25" s="18"/>
      <c r="D25" s="18"/>
      <c r="E25" s="18"/>
      <c r="F25" s="18"/>
      <c r="G25" s="18"/>
      <c r="H25" s="16" t="s">
        <v>82</v>
      </c>
      <c r="I25" s="18"/>
      <c r="J25" s="16" t="s">
        <v>83</v>
      </c>
    </row>
  </sheetData>
  <mergeCells count="5">
    <mergeCell ref="B2:D2"/>
    <mergeCell ref="B3:D3"/>
    <mergeCell ref="B12:D12"/>
    <mergeCell ref="B14:D14"/>
    <mergeCell ref="B20:J20"/>
  </mergeCells>
  <conditionalFormatting sqref="C10">
    <cfRule type="cellIs" dxfId="6" priority="2" operator="notEqual">
      <formula>100</formula>
    </cfRule>
    <cfRule type="cellIs" dxfId="5" priority="3" operator="equal">
      <formula>100</formula>
    </cfRule>
  </conditionalFormatting>
  <pageMargins left="0.75" right="0.75" top="1" bottom="1" header="0.511811023622047" footer="0.511811023622047"/>
  <pageSetup paperSize="9" scale="33" orientation="portrait"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47"/>
  <sheetViews>
    <sheetView showGridLines="0" rightToLeft="1" view="pageBreakPreview" zoomScale="130" zoomScaleNormal="85" zoomScalePageLayoutView="130" workbookViewId="0">
      <selection activeCell="C10" sqref="C10:E10"/>
    </sheetView>
  </sheetViews>
  <sheetFormatPr defaultColWidth="8.5703125" defaultRowHeight="14.45"/>
  <cols>
    <col min="1" max="1" width="3" customWidth="1"/>
    <col min="2" max="2" width="28.85546875" customWidth="1"/>
    <col min="4" max="4" width="22.5703125" customWidth="1"/>
    <col min="5" max="5" width="20.42578125" customWidth="1"/>
    <col min="6" max="6" width="3.28515625" customWidth="1"/>
  </cols>
  <sheetData>
    <row r="2" spans="2:5" ht="24" customHeight="1">
      <c r="B2" s="57" t="s">
        <v>84</v>
      </c>
      <c r="C2" s="57"/>
      <c r="D2" s="57"/>
      <c r="E2" s="57"/>
    </row>
    <row r="3" spans="2:5" ht="15" customHeight="1">
      <c r="B3" s="52" t="s">
        <v>85</v>
      </c>
      <c r="C3" s="52"/>
      <c r="D3" s="52"/>
      <c r="E3" s="52"/>
    </row>
    <row r="4" spans="2:5" ht="15" customHeight="1">
      <c r="B4" s="3"/>
      <c r="C4" s="3"/>
      <c r="D4" s="3"/>
      <c r="E4" s="3"/>
    </row>
    <row r="5" spans="2:5" ht="16.5" customHeight="1">
      <c r="B5" s="44" t="s">
        <v>86</v>
      </c>
      <c r="C5" s="44"/>
      <c r="D5" s="44"/>
      <c r="E5" s="44"/>
    </row>
    <row r="6" spans="2:5" ht="15" customHeight="1"/>
    <row r="7" spans="2:5" ht="15" customHeight="1">
      <c r="B7" s="19" t="s">
        <v>87</v>
      </c>
      <c r="C7" s="55" t="s">
        <v>88</v>
      </c>
      <c r="D7" s="55"/>
      <c r="E7" s="55"/>
    </row>
    <row r="8" spans="2:5" ht="15" customHeight="1">
      <c r="B8" s="19" t="s">
        <v>89</v>
      </c>
      <c r="C8" s="55" t="s">
        <v>90</v>
      </c>
      <c r="D8" s="55"/>
      <c r="E8" s="55"/>
    </row>
    <row r="9" spans="2:5" ht="15" customHeight="1">
      <c r="B9" s="19" t="s">
        <v>91</v>
      </c>
      <c r="C9" s="54">
        <v>46118</v>
      </c>
      <c r="D9" s="54"/>
      <c r="E9" s="54"/>
    </row>
    <row r="10" spans="2:5" ht="15" customHeight="1">
      <c r="B10" s="19" t="s">
        <v>92</v>
      </c>
      <c r="C10" s="55" t="s">
        <v>93</v>
      </c>
      <c r="D10" s="55"/>
      <c r="E10" s="55"/>
    </row>
    <row r="11" spans="2:5" ht="15" customHeight="1">
      <c r="B11" s="19" t="s">
        <v>94</v>
      </c>
      <c r="C11" s="55" t="s">
        <v>70</v>
      </c>
      <c r="D11" s="55"/>
      <c r="E11" s="55"/>
    </row>
    <row r="12" spans="2:5" ht="15" customHeight="1">
      <c r="B12" s="19" t="s">
        <v>95</v>
      </c>
      <c r="C12" s="56" t="str">
        <f ca="1">IF(C9="","REQ-"&amp;TEXT(TODAY(),"YY"),"REQ-"&amp;TEXT(C9,"YY"))&amp;"-"&amp;TEXT(E12,"0000")</f>
        <v>REQ-26-0001</v>
      </c>
      <c r="D12" s="56"/>
      <c r="E12" s="43">
        <v>1</v>
      </c>
    </row>
    <row r="14" spans="2:5" ht="16.5" customHeight="1">
      <c r="B14" s="44" t="s">
        <v>96</v>
      </c>
      <c r="C14" s="44"/>
      <c r="D14" s="44"/>
      <c r="E14" s="44"/>
    </row>
    <row r="15" spans="2:5" ht="15" customHeight="1">
      <c r="B15" s="52" t="s">
        <v>97</v>
      </c>
      <c r="C15" s="52"/>
      <c r="D15" s="52"/>
      <c r="E15" s="52"/>
    </row>
    <row r="16" spans="2:5" ht="14.25" customHeight="1">
      <c r="B16" s="53" t="s">
        <v>98</v>
      </c>
      <c r="C16" s="53"/>
      <c r="D16" s="53"/>
      <c r="E16" s="53"/>
    </row>
    <row r="17" spans="2:5">
      <c r="B17" s="53"/>
      <c r="C17" s="53"/>
      <c r="D17" s="53"/>
      <c r="E17" s="53"/>
    </row>
    <row r="18" spans="2:5">
      <c r="B18" s="53"/>
      <c r="C18" s="53"/>
      <c r="D18" s="53"/>
      <c r="E18" s="53"/>
    </row>
    <row r="19" spans="2:5">
      <c r="B19" s="53"/>
      <c r="C19" s="53"/>
      <c r="D19" s="53"/>
      <c r="E19" s="53"/>
    </row>
    <row r="20" spans="2:5">
      <c r="B20" s="53"/>
      <c r="C20" s="53"/>
      <c r="D20" s="53"/>
      <c r="E20" s="53"/>
    </row>
    <row r="22" spans="2:5" ht="15.75" customHeight="1">
      <c r="B22" s="44" t="s">
        <v>99</v>
      </c>
      <c r="C22" s="44"/>
      <c r="D22" s="44"/>
      <c r="E22" s="44"/>
    </row>
    <row r="23" spans="2:5" ht="15" customHeight="1">
      <c r="B23" s="52" t="s">
        <v>100</v>
      </c>
      <c r="C23" s="52"/>
      <c r="D23" s="52"/>
      <c r="E23" s="52"/>
    </row>
    <row r="24" spans="2:5">
      <c r="B24" s="53"/>
      <c r="C24" s="53"/>
      <c r="D24" s="53"/>
      <c r="E24" s="53"/>
    </row>
    <row r="25" spans="2:5">
      <c r="B25" s="53"/>
      <c r="C25" s="53"/>
      <c r="D25" s="53"/>
      <c r="E25" s="53"/>
    </row>
    <row r="27" spans="2:5" ht="19.5" customHeight="1">
      <c r="B27" s="20" t="s">
        <v>101</v>
      </c>
      <c r="C27" s="50" t="s">
        <v>102</v>
      </c>
      <c r="D27" s="50"/>
      <c r="E27" s="50"/>
    </row>
    <row r="28" spans="2:5" ht="16.5" customHeight="1">
      <c r="B28" s="21" t="s">
        <v>103</v>
      </c>
      <c r="C28" s="48"/>
      <c r="D28" s="48"/>
      <c r="E28" s="48"/>
    </row>
    <row r="29" spans="2:5" ht="16.5" customHeight="1">
      <c r="B29" s="21" t="s">
        <v>104</v>
      </c>
      <c r="C29" s="48"/>
      <c r="D29" s="48"/>
      <c r="E29" s="48"/>
    </row>
    <row r="30" spans="2:5" ht="33" customHeight="1">
      <c r="B30" s="22" t="s">
        <v>105</v>
      </c>
      <c r="C30" s="49"/>
      <c r="D30" s="49"/>
      <c r="E30" s="49"/>
    </row>
    <row r="32" spans="2:5" ht="18" customHeight="1">
      <c r="B32" s="23" t="s">
        <v>106</v>
      </c>
      <c r="C32" s="51" t="s">
        <v>102</v>
      </c>
      <c r="D32" s="51"/>
      <c r="E32" s="51"/>
    </row>
    <row r="33" spans="2:6" ht="15" customHeight="1">
      <c r="B33" s="47" t="s">
        <v>107</v>
      </c>
      <c r="C33" s="47"/>
      <c r="D33" s="47"/>
      <c r="E33" s="47"/>
    </row>
    <row r="34" spans="2:6" ht="16.5" customHeight="1">
      <c r="B34" s="21" t="s">
        <v>108</v>
      </c>
      <c r="C34" s="48"/>
      <c r="D34" s="48"/>
      <c r="E34" s="48"/>
    </row>
    <row r="35" spans="2:6" ht="16.5" customHeight="1">
      <c r="B35" s="21" t="s">
        <v>109</v>
      </c>
      <c r="C35" s="48"/>
      <c r="D35" s="48"/>
      <c r="E35" s="48"/>
    </row>
    <row r="36" spans="2:6" ht="16.5" customHeight="1">
      <c r="B36" s="21" t="s">
        <v>110</v>
      </c>
      <c r="C36" s="48"/>
      <c r="D36" s="48"/>
      <c r="E36" s="48"/>
    </row>
    <row r="37" spans="2:6" ht="16.5" customHeight="1">
      <c r="B37" s="22" t="s">
        <v>111</v>
      </c>
      <c r="C37" s="49"/>
      <c r="D37" s="49"/>
      <c r="E37" s="49"/>
    </row>
    <row r="39" spans="2:6" ht="19.5" customHeight="1">
      <c r="B39" s="44" t="s">
        <v>112</v>
      </c>
      <c r="C39" s="44"/>
      <c r="D39" s="44"/>
      <c r="E39" s="44"/>
    </row>
    <row r="40" spans="2:6" ht="36" customHeight="1">
      <c r="B40" s="45" t="s">
        <v>113</v>
      </c>
      <c r="C40" s="45"/>
      <c r="D40" s="45"/>
      <c r="E40" s="45"/>
      <c r="F40" s="4"/>
    </row>
    <row r="41" spans="2:6" ht="19.5" customHeight="1">
      <c r="B41" s="20" t="s">
        <v>114</v>
      </c>
      <c r="C41" s="24"/>
      <c r="D41" s="24"/>
      <c r="E41" s="25"/>
    </row>
    <row r="42" spans="2:6">
      <c r="B42" s="46"/>
      <c r="C42" s="46"/>
      <c r="D42" s="46"/>
      <c r="E42" s="46"/>
    </row>
    <row r="43" spans="2:6" ht="24" customHeight="1"/>
    <row r="44" spans="2:6" ht="15" customHeight="1"/>
    <row r="47" spans="2:6" ht="15" customHeight="1"/>
  </sheetData>
  <mergeCells count="28">
    <mergeCell ref="B2:E2"/>
    <mergeCell ref="B3:E3"/>
    <mergeCell ref="B5:E5"/>
    <mergeCell ref="C7:E7"/>
    <mergeCell ref="C8:E8"/>
    <mergeCell ref="C9:E9"/>
    <mergeCell ref="C10:E10"/>
    <mergeCell ref="C11:E11"/>
    <mergeCell ref="C12:D12"/>
    <mergeCell ref="B14:E14"/>
    <mergeCell ref="B15:E15"/>
    <mergeCell ref="B16:E20"/>
    <mergeCell ref="B22:E22"/>
    <mergeCell ref="B23:E23"/>
    <mergeCell ref="B24:E25"/>
    <mergeCell ref="C27:E27"/>
    <mergeCell ref="C28:E28"/>
    <mergeCell ref="C29:E29"/>
    <mergeCell ref="C30:E30"/>
    <mergeCell ref="C32:E32"/>
    <mergeCell ref="B39:E39"/>
    <mergeCell ref="B40:E40"/>
    <mergeCell ref="B42:E42"/>
    <mergeCell ref="B33:E33"/>
    <mergeCell ref="C34:E34"/>
    <mergeCell ref="C35:E35"/>
    <mergeCell ref="C36:E36"/>
    <mergeCell ref="C37:E37"/>
  </mergeCells>
  <pageMargins left="0.75" right="0.75" top="1" bottom="1" header="0.511811023622047" footer="0.511811023622047"/>
  <pageSetup paperSize="9" scale="91"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14"/>
  <sheetViews>
    <sheetView showGridLines="0" rightToLeft="1" tabSelected="1" view="pageBreakPreview" zoomScale="115" zoomScaleNormal="100" zoomScalePageLayoutView="115" workbookViewId="0">
      <selection activeCell="C20" sqref="C20"/>
    </sheetView>
  </sheetViews>
  <sheetFormatPr defaultColWidth="8.5703125" defaultRowHeight="14.45"/>
  <cols>
    <col min="1" max="1" width="3" customWidth="1"/>
    <col min="2" max="2" width="34.85546875" customWidth="1"/>
    <col min="3" max="3" width="14" customWidth="1"/>
    <col min="4" max="5" width="20" customWidth="1"/>
    <col min="6" max="6" width="2.7109375" customWidth="1"/>
  </cols>
  <sheetData>
    <row r="2" spans="2:5" ht="24" customHeight="1">
      <c r="B2" s="76" t="s">
        <v>115</v>
      </c>
      <c r="C2" s="76"/>
      <c r="D2" s="76"/>
      <c r="E2" s="76"/>
    </row>
    <row r="3" spans="2:5" ht="15" customHeight="1">
      <c r="B3" s="70" t="s">
        <v>116</v>
      </c>
      <c r="C3" s="70"/>
      <c r="D3" s="70"/>
      <c r="E3" s="70"/>
    </row>
    <row r="4" spans="2:5" ht="16.5" customHeight="1">
      <c r="B4" s="6"/>
      <c r="C4" s="6"/>
      <c r="D4" s="6"/>
      <c r="E4" s="6"/>
    </row>
    <row r="5" spans="2:5" ht="15" customHeight="1">
      <c r="B5" s="26" t="s">
        <v>117</v>
      </c>
      <c r="C5" s="27" t="s">
        <v>118</v>
      </c>
      <c r="D5" s="77" t="s">
        <v>28</v>
      </c>
      <c r="E5" s="77"/>
    </row>
    <row r="6" spans="2:5" ht="16.5" customHeight="1">
      <c r="B6" s="21" t="s">
        <v>119</v>
      </c>
      <c r="C6" s="2" t="s">
        <v>56</v>
      </c>
      <c r="D6" s="73"/>
      <c r="E6" s="73"/>
    </row>
    <row r="7" spans="2:5" ht="16.5" customHeight="1">
      <c r="B7" s="21" t="s">
        <v>120</v>
      </c>
      <c r="C7" s="2" t="s">
        <v>56</v>
      </c>
      <c r="D7" s="73"/>
      <c r="E7" s="73"/>
    </row>
    <row r="8" spans="2:5" ht="16.5" customHeight="1">
      <c r="B8" s="21" t="s">
        <v>104</v>
      </c>
      <c r="C8" s="2" t="s">
        <v>56</v>
      </c>
      <c r="D8" s="73"/>
      <c r="E8" s="73"/>
    </row>
    <row r="9" spans="2:5" ht="16.5" customHeight="1">
      <c r="B9" s="21" t="s">
        <v>105</v>
      </c>
      <c r="C9" s="2" t="s">
        <v>56</v>
      </c>
      <c r="D9" s="73"/>
      <c r="E9" s="73"/>
    </row>
    <row r="10" spans="2:5" ht="16.5" customHeight="1">
      <c r="B10" s="21" t="s">
        <v>121</v>
      </c>
      <c r="C10" s="2" t="s">
        <v>56</v>
      </c>
      <c r="D10" s="73"/>
      <c r="E10" s="73"/>
    </row>
    <row r="11" spans="2:5" ht="16.5" customHeight="1">
      <c r="B11" s="22" t="s">
        <v>122</v>
      </c>
      <c r="C11" s="1" t="s">
        <v>56</v>
      </c>
      <c r="D11" s="74"/>
      <c r="E11" s="74"/>
    </row>
    <row r="12" spans="2:5" ht="16.5" customHeight="1">
      <c r="B12" s="6"/>
      <c r="C12" s="6"/>
      <c r="D12" s="6"/>
      <c r="E12" s="6"/>
    </row>
    <row r="13" spans="2:5" ht="16.5" customHeight="1">
      <c r="B13" s="28" t="s">
        <v>123</v>
      </c>
      <c r="C13" s="75" t="str">
        <f>IF(COUNTIF(C6:C11,"لا")=0,"مكتمل — جاهز للتقييم","غير مكتمل — أعد الطلب لمقدّمه")</f>
        <v>مكتمل — جاهز للتقييم</v>
      </c>
      <c r="D13" s="75"/>
      <c r="E13" s="75"/>
    </row>
    <row r="14" spans="2:5" ht="13.5" customHeight="1"/>
  </sheetData>
  <mergeCells count="10">
    <mergeCell ref="B2:E2"/>
    <mergeCell ref="B3:E3"/>
    <mergeCell ref="D5:E5"/>
    <mergeCell ref="D6:E6"/>
    <mergeCell ref="D7:E7"/>
    <mergeCell ref="D8:E8"/>
    <mergeCell ref="D9:E9"/>
    <mergeCell ref="D10:E10"/>
    <mergeCell ref="D11:E11"/>
    <mergeCell ref="C13:E13"/>
  </mergeCells>
  <conditionalFormatting sqref="C13">
    <cfRule type="expression" dxfId="4" priority="2">
      <formula>COUNTIF(C6:C11,"لا")&gt;0</formula>
    </cfRule>
    <cfRule type="expression" dxfId="3" priority="3">
      <formula>COUNTIF(C6:C11,"لا")=0</formula>
    </cfRule>
  </conditionalFormatting>
  <pageMargins left="0.75" right="0.75" top="1" bottom="1" header="0.511811023622047" footer="0.511811023622047"/>
  <pageSetup paperSize="9" scale="7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F44"/>
  <sheetViews>
    <sheetView showGridLines="0" rightToLeft="1" view="pageBreakPreview" topLeftCell="A4" zoomScaleNormal="100" workbookViewId="0">
      <selection activeCell="B28" sqref="B28"/>
    </sheetView>
  </sheetViews>
  <sheetFormatPr defaultColWidth="8.5703125" defaultRowHeight="14.45"/>
  <cols>
    <col min="1" max="1" width="3" customWidth="1"/>
    <col min="2" max="2" width="30.42578125" customWidth="1"/>
    <col min="3" max="3" width="19.140625" customWidth="1"/>
    <col min="4" max="5" width="14" customWidth="1"/>
    <col min="6" max="6" width="35.5703125" customWidth="1"/>
    <col min="7" max="7" width="3.85546875" customWidth="1"/>
  </cols>
  <sheetData>
    <row r="3" spans="2:6" ht="21" customHeight="1">
      <c r="B3" s="81" t="s">
        <v>124</v>
      </c>
      <c r="C3" s="81"/>
      <c r="D3" s="81"/>
      <c r="E3" s="81"/>
      <c r="F3" s="81"/>
    </row>
    <row r="4" spans="2:6" ht="14.25" customHeight="1">
      <c r="B4" s="70" t="s">
        <v>125</v>
      </c>
      <c r="C4" s="70"/>
      <c r="D4" s="70"/>
      <c r="E4" s="70"/>
      <c r="F4" s="70"/>
    </row>
    <row r="5" spans="2:6" ht="16.5" customHeight="1">
      <c r="B5" s="82"/>
      <c r="C5" s="82"/>
      <c r="D5" s="82"/>
      <c r="E5" s="82"/>
      <c r="F5" s="82"/>
    </row>
    <row r="6" spans="2:6" ht="16.5" customHeight="1">
      <c r="B6" s="83" t="s">
        <v>126</v>
      </c>
      <c r="C6" s="83"/>
      <c r="D6" s="83"/>
      <c r="E6" s="83"/>
      <c r="F6" s="83"/>
    </row>
    <row r="7" spans="2:6" ht="16.5" customHeight="1">
      <c r="B7" s="29" t="s">
        <v>127</v>
      </c>
      <c r="C7" s="84"/>
      <c r="D7" s="84"/>
      <c r="E7" s="84"/>
      <c r="F7" s="84"/>
    </row>
    <row r="8" spans="2:6" ht="16.5" customHeight="1">
      <c r="B8" s="80"/>
      <c r="C8" s="80"/>
      <c r="D8" s="80"/>
      <c r="E8" s="80"/>
      <c r="F8" s="80"/>
    </row>
    <row r="9" spans="2:6" ht="19.5" customHeight="1">
      <c r="B9" s="94" t="s">
        <v>128</v>
      </c>
      <c r="C9" s="94"/>
      <c r="D9" s="94"/>
      <c r="E9" s="94"/>
      <c r="F9" s="94"/>
    </row>
    <row r="10" spans="2:6" ht="16.5" customHeight="1">
      <c r="B10" s="30" t="s">
        <v>129</v>
      </c>
      <c r="C10" s="30" t="s">
        <v>130</v>
      </c>
      <c r="D10" s="30" t="s">
        <v>131</v>
      </c>
      <c r="E10" s="30" t="s">
        <v>132</v>
      </c>
      <c r="F10" s="30" t="s">
        <v>133</v>
      </c>
    </row>
    <row r="11" spans="2:6" ht="16.5" customHeight="1">
      <c r="B11" s="9" t="s">
        <v>134</v>
      </c>
      <c r="C11" s="31"/>
      <c r="D11" s="32">
        <f>IFERROR(VALUE(MID(C11,FIND("(",C11)+1,FIND(")",C11)-FIND("(",C11)-1)),0)</f>
        <v>0</v>
      </c>
      <c r="E11" s="32">
        <v>10</v>
      </c>
      <c r="F11" s="31"/>
    </row>
    <row r="12" spans="2:6" ht="16.5" customHeight="1">
      <c r="B12" s="9" t="s">
        <v>135</v>
      </c>
      <c r="C12" s="31"/>
      <c r="D12" s="32">
        <f>IFERROR(VALUE(MID(C12,FIND("(",C12)+1,FIND(")",C12)-FIND("(",C12)-1)),0)</f>
        <v>0</v>
      </c>
      <c r="E12" s="32">
        <v>10</v>
      </c>
      <c r="F12" s="31"/>
    </row>
    <row r="13" spans="2:6" ht="16.5" customHeight="1">
      <c r="B13" s="33" t="s">
        <v>136</v>
      </c>
      <c r="C13" s="34"/>
      <c r="D13" s="32">
        <f>IFERROR(VALUE(MID(C13,FIND("(",C13)+1,FIND(")",C13)-FIND("(",C13)-1)),0)</f>
        <v>0</v>
      </c>
      <c r="E13" s="32">
        <v>15</v>
      </c>
      <c r="F13" s="31"/>
    </row>
    <row r="14" spans="2:6" ht="16.5" customHeight="1">
      <c r="B14" s="78" t="s">
        <v>137</v>
      </c>
      <c r="C14" s="78"/>
      <c r="D14" s="35">
        <f>SUM(D11:D13)</f>
        <v>0</v>
      </c>
      <c r="E14" s="12">
        <f>SUM(E11:E13)</f>
        <v>35</v>
      </c>
      <c r="F14" s="6"/>
    </row>
    <row r="15" spans="2:6" ht="16.5" customHeight="1">
      <c r="B15" s="79"/>
      <c r="C15" s="79"/>
      <c r="D15" s="79"/>
      <c r="E15" s="79"/>
      <c r="F15" s="79"/>
    </row>
    <row r="16" spans="2:6" ht="19.5" customHeight="1">
      <c r="B16" s="94" t="s">
        <v>138</v>
      </c>
      <c r="C16" s="94"/>
      <c r="D16" s="94"/>
      <c r="E16" s="94"/>
      <c r="F16" s="94"/>
    </row>
    <row r="17" spans="2:6" ht="16.5" customHeight="1">
      <c r="B17" s="30" t="s">
        <v>129</v>
      </c>
      <c r="C17" s="30" t="s">
        <v>130</v>
      </c>
      <c r="D17" s="30" t="s">
        <v>131</v>
      </c>
      <c r="E17" s="30" t="s">
        <v>132</v>
      </c>
      <c r="F17" s="30" t="s">
        <v>133</v>
      </c>
    </row>
    <row r="18" spans="2:6" ht="16.5" customHeight="1">
      <c r="B18" s="9" t="s">
        <v>139</v>
      </c>
      <c r="C18" s="31"/>
      <c r="D18" s="32">
        <f>IFERROR(VALUE(MID(C18,FIND("(",C18)+1,FIND(")",C18)-FIND("(",C18)-1)),0)</f>
        <v>0</v>
      </c>
      <c r="E18" s="32">
        <v>5</v>
      </c>
      <c r="F18" s="31"/>
    </row>
    <row r="19" spans="2:6" ht="16.5" customHeight="1">
      <c r="B19" s="9" t="s">
        <v>140</v>
      </c>
      <c r="C19" s="31"/>
      <c r="D19" s="32">
        <f>IF(C19="نعم",10,0)</f>
        <v>0</v>
      </c>
      <c r="E19" s="32">
        <v>10</v>
      </c>
      <c r="F19" s="31"/>
    </row>
    <row r="20" spans="2:6" ht="16.5" customHeight="1">
      <c r="B20" s="33" t="s">
        <v>141</v>
      </c>
      <c r="C20" s="34"/>
      <c r="D20" s="32">
        <f>IF(C20="نعم",10,0)</f>
        <v>0</v>
      </c>
      <c r="E20" s="32">
        <v>10</v>
      </c>
      <c r="F20" s="31"/>
    </row>
    <row r="21" spans="2:6" ht="16.5" customHeight="1">
      <c r="B21" s="78" t="s">
        <v>142</v>
      </c>
      <c r="C21" s="78"/>
      <c r="D21" s="35">
        <f>SUM(D18:D20)</f>
        <v>0</v>
      </c>
      <c r="E21" s="12">
        <f>SUM(E18:E20)</f>
        <v>25</v>
      </c>
      <c r="F21" s="6"/>
    </row>
    <row r="22" spans="2:6" ht="16.5" customHeight="1">
      <c r="B22" s="79"/>
      <c r="C22" s="79"/>
      <c r="D22" s="79"/>
      <c r="E22" s="79"/>
      <c r="F22" s="79"/>
    </row>
    <row r="23" spans="2:6" ht="19.5" customHeight="1">
      <c r="B23" s="94" t="s">
        <v>143</v>
      </c>
      <c r="C23" s="94"/>
      <c r="D23" s="94"/>
      <c r="E23" s="94"/>
      <c r="F23" s="94"/>
    </row>
    <row r="24" spans="2:6" ht="16.5" customHeight="1">
      <c r="B24" s="95" t="s">
        <v>144</v>
      </c>
      <c r="C24" s="95"/>
      <c r="D24" s="95"/>
      <c r="E24" s="95"/>
      <c r="F24" s="95"/>
    </row>
    <row r="25" spans="2:6" ht="16.5" customHeight="1">
      <c r="B25" s="36" t="s">
        <v>129</v>
      </c>
      <c r="C25" s="36" t="s">
        <v>118</v>
      </c>
      <c r="D25" s="30" t="s">
        <v>131</v>
      </c>
      <c r="E25" s="30" t="s">
        <v>132</v>
      </c>
      <c r="F25" s="36" t="s">
        <v>133</v>
      </c>
    </row>
    <row r="26" spans="2:6" ht="16.5" customHeight="1">
      <c r="B26" s="9" t="s">
        <v>145</v>
      </c>
      <c r="C26" s="31"/>
      <c r="D26" s="32">
        <f>IF(C26="نعم",4,0)</f>
        <v>0</v>
      </c>
      <c r="E26" s="32">
        <v>4</v>
      </c>
      <c r="F26" s="31"/>
    </row>
    <row r="27" spans="2:6" ht="16.5" customHeight="1">
      <c r="B27" s="9" t="s">
        <v>146</v>
      </c>
      <c r="C27" s="31"/>
      <c r="D27" s="32">
        <f>IF(C27="نعم",4,0)</f>
        <v>0</v>
      </c>
      <c r="E27" s="32">
        <v>4</v>
      </c>
      <c r="F27" s="31"/>
    </row>
    <row r="28" spans="2:6" ht="16.5" customHeight="1">
      <c r="B28" s="33" t="s">
        <v>147</v>
      </c>
      <c r="C28" s="34"/>
      <c r="D28" s="37">
        <f>IF(C28="نعم",4,0)</f>
        <v>0</v>
      </c>
      <c r="E28" s="37">
        <v>4</v>
      </c>
      <c r="F28" s="34"/>
    </row>
    <row r="29" spans="2:6" ht="16.5" customHeight="1">
      <c r="B29" s="95" t="s">
        <v>148</v>
      </c>
      <c r="C29" s="95"/>
      <c r="D29" s="95"/>
      <c r="E29" s="95"/>
      <c r="F29" s="95"/>
    </row>
    <row r="30" spans="2:6" ht="16.5" customHeight="1">
      <c r="B30" s="36" t="s">
        <v>129</v>
      </c>
      <c r="C30" s="36" t="s">
        <v>149</v>
      </c>
      <c r="D30" s="30" t="s">
        <v>131</v>
      </c>
      <c r="E30" s="30" t="s">
        <v>132</v>
      </c>
      <c r="F30" s="36" t="s">
        <v>133</v>
      </c>
    </row>
    <row r="31" spans="2:6" ht="16.5" customHeight="1">
      <c r="B31" s="9" t="s">
        <v>150</v>
      </c>
      <c r="C31" s="31"/>
      <c r="D31" s="32">
        <f t="shared" ref="D31:D36" si="0">IF(C31="نعم",2,0)</f>
        <v>0</v>
      </c>
      <c r="E31" s="32">
        <v>2</v>
      </c>
      <c r="F31" s="31"/>
    </row>
    <row r="32" spans="2:6" ht="16.5" customHeight="1">
      <c r="B32" s="9" t="s">
        <v>151</v>
      </c>
      <c r="C32" s="31"/>
      <c r="D32" s="32">
        <f t="shared" si="0"/>
        <v>0</v>
      </c>
      <c r="E32" s="32">
        <v>2</v>
      </c>
      <c r="F32" s="31"/>
    </row>
    <row r="33" spans="2:6" ht="16.5" customHeight="1">
      <c r="B33" s="9" t="s">
        <v>152</v>
      </c>
      <c r="C33" s="31"/>
      <c r="D33" s="32">
        <f t="shared" si="0"/>
        <v>0</v>
      </c>
      <c r="E33" s="32">
        <v>2</v>
      </c>
      <c r="F33" s="31"/>
    </row>
    <row r="34" spans="2:6" ht="16.5" customHeight="1">
      <c r="B34" s="9" t="s">
        <v>153</v>
      </c>
      <c r="C34" s="31"/>
      <c r="D34" s="32">
        <f t="shared" si="0"/>
        <v>0</v>
      </c>
      <c r="E34" s="32">
        <v>2</v>
      </c>
      <c r="F34" s="31"/>
    </row>
    <row r="35" spans="2:6" ht="16.5" customHeight="1">
      <c r="B35" s="9" t="s">
        <v>154</v>
      </c>
      <c r="C35" s="31"/>
      <c r="D35" s="32">
        <f t="shared" si="0"/>
        <v>0</v>
      </c>
      <c r="E35" s="32">
        <v>2</v>
      </c>
      <c r="F35" s="31"/>
    </row>
    <row r="36" spans="2:6" ht="16.5" customHeight="1">
      <c r="B36" s="33" t="s">
        <v>155</v>
      </c>
      <c r="C36" s="34"/>
      <c r="D36" s="32">
        <f t="shared" si="0"/>
        <v>0</v>
      </c>
      <c r="E36" s="32">
        <v>2</v>
      </c>
      <c r="F36" s="31"/>
    </row>
    <row r="37" spans="2:6" ht="16.5" customHeight="1">
      <c r="B37" s="78" t="s">
        <v>156</v>
      </c>
      <c r="C37" s="78"/>
      <c r="D37" s="35">
        <f>SUM(D26:D28)+SUM(D31:D36)</f>
        <v>0</v>
      </c>
      <c r="E37" s="12">
        <f>SUM(E26:E28)+SUM(E31:E36)</f>
        <v>24</v>
      </c>
      <c r="F37" s="6"/>
    </row>
    <row r="38" spans="2:6" ht="16.5" customHeight="1">
      <c r="B38" s="79"/>
      <c r="C38" s="79"/>
      <c r="D38" s="79"/>
      <c r="E38" s="79"/>
      <c r="F38" s="79"/>
    </row>
    <row r="39" spans="2:6" ht="19.5" customHeight="1">
      <c r="B39" s="94" t="s">
        <v>157</v>
      </c>
      <c r="C39" s="94"/>
      <c r="D39" s="94"/>
      <c r="E39" s="94"/>
      <c r="F39" s="94"/>
    </row>
    <row r="40" spans="2:6" ht="16.5" customHeight="1">
      <c r="B40" s="30" t="s">
        <v>129</v>
      </c>
      <c r="C40" s="30" t="s">
        <v>158</v>
      </c>
      <c r="D40" s="30" t="s">
        <v>131</v>
      </c>
      <c r="E40" s="30" t="s">
        <v>132</v>
      </c>
      <c r="F40" s="30" t="s">
        <v>133</v>
      </c>
    </row>
    <row r="41" spans="2:6" ht="16.5" customHeight="1">
      <c r="B41" s="9" t="s">
        <v>159</v>
      </c>
      <c r="C41" s="31"/>
      <c r="D41" s="32">
        <f>IF(C41="",0,8-IFERROR(VALUE(MID(C41,FIND("(",C41)+1,FIND(")",C41)-FIND("(",C41)-1)),0))</f>
        <v>0</v>
      </c>
      <c r="E41" s="32">
        <v>8</v>
      </c>
      <c r="F41" s="31"/>
    </row>
    <row r="42" spans="2:6" ht="16.5" customHeight="1">
      <c r="B42" s="33" t="s">
        <v>160</v>
      </c>
      <c r="C42" s="34"/>
      <c r="D42" s="32">
        <f>IF(C42="",0,8-IFERROR(VALUE(MID(C42,FIND("(",C42)+1,FIND(")",C42)-FIND("(",C42)-1)),0))</f>
        <v>0</v>
      </c>
      <c r="E42" s="32">
        <v>8</v>
      </c>
      <c r="F42" s="31"/>
    </row>
    <row r="43" spans="2:6" ht="16.5" customHeight="1">
      <c r="B43" s="78" t="s">
        <v>161</v>
      </c>
      <c r="C43" s="78"/>
      <c r="D43" s="35">
        <f>SUM(D41:D42)</f>
        <v>0</v>
      </c>
      <c r="E43" s="12">
        <f>SUM(E41:E42)</f>
        <v>16</v>
      </c>
      <c r="F43" s="6"/>
    </row>
    <row r="44" spans="2:6">
      <c r="B44" s="46"/>
      <c r="C44" s="46"/>
      <c r="D44" s="46"/>
      <c r="E44" s="46"/>
      <c r="F44" s="46"/>
    </row>
  </sheetData>
  <mergeCells count="20">
    <mergeCell ref="B3:F3"/>
    <mergeCell ref="B4:F4"/>
    <mergeCell ref="B5:F5"/>
    <mergeCell ref="B6:F6"/>
    <mergeCell ref="C7:F7"/>
    <mergeCell ref="B8:F8"/>
    <mergeCell ref="B9:F9"/>
    <mergeCell ref="B14:C14"/>
    <mergeCell ref="B15:F15"/>
    <mergeCell ref="B16:F16"/>
    <mergeCell ref="B21:C21"/>
    <mergeCell ref="B22:F22"/>
    <mergeCell ref="B23:F23"/>
    <mergeCell ref="B24:F24"/>
    <mergeCell ref="B29:F29"/>
    <mergeCell ref="B37:C37"/>
    <mergeCell ref="B38:F38"/>
    <mergeCell ref="B39:F39"/>
    <mergeCell ref="B43:C43"/>
    <mergeCell ref="B44:F44"/>
  </mergeCells>
  <pageMargins left="0.75" right="0.75" top="1" bottom="1" header="0.511811023622047" footer="0.511811023622047"/>
  <pageSetup paperSize="9" scale="65"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30"/>
  <sheetViews>
    <sheetView showGridLines="0" rightToLeft="1" view="pageBreakPreview" zoomScale="70" zoomScaleNormal="70" zoomScalePageLayoutView="70" workbookViewId="0">
      <selection activeCell="B2" sqref="B2"/>
    </sheetView>
  </sheetViews>
  <sheetFormatPr defaultColWidth="8.5703125" defaultRowHeight="14.45"/>
  <cols>
    <col min="1" max="1" width="3" customWidth="1"/>
    <col min="2" max="2" width="19.85546875" customWidth="1"/>
    <col min="3" max="5" width="18" customWidth="1"/>
    <col min="6" max="6" width="22" customWidth="1"/>
    <col min="7" max="7" width="3.28515625" customWidth="1"/>
  </cols>
  <sheetData>
    <row r="2" spans="2:6" ht="24" customHeight="1">
      <c r="B2" s="57" t="s">
        <v>22</v>
      </c>
      <c r="C2" s="57"/>
      <c r="D2" s="57"/>
      <c r="E2" s="57"/>
      <c r="F2" s="57"/>
    </row>
    <row r="3" spans="2:6" ht="16.5" customHeight="1">
      <c r="B3" s="6"/>
      <c r="C3" s="6"/>
      <c r="D3" s="6"/>
      <c r="E3" s="6"/>
      <c r="F3" s="6"/>
    </row>
    <row r="4" spans="2:6" ht="15" customHeight="1">
      <c r="B4" s="89" t="s">
        <v>162</v>
      </c>
      <c r="C4" s="89"/>
      <c r="D4" s="90" t="str">
        <f>'بوابة الاكتمال'!C13</f>
        <v>مكتمل — جاهز للتقييم</v>
      </c>
      <c r="E4" s="90"/>
      <c r="F4" s="90"/>
    </row>
    <row r="5" spans="2:6" ht="16.5" customHeight="1">
      <c r="B5" s="6"/>
      <c r="C5" s="6"/>
      <c r="D5" s="6"/>
      <c r="E5" s="6"/>
      <c r="F5" s="6"/>
    </row>
    <row r="6" spans="2:6" ht="16.5" customHeight="1">
      <c r="B6" s="96" t="s">
        <v>163</v>
      </c>
      <c r="C6" s="96"/>
      <c r="D6" s="96"/>
      <c r="E6" s="96"/>
      <c r="F6" s="96"/>
    </row>
    <row r="7" spans="2:6" ht="16.5" customHeight="1">
      <c r="B7" s="38" t="s">
        <v>164</v>
      </c>
      <c r="C7" s="30" t="s">
        <v>165</v>
      </c>
      <c r="D7" s="30" t="s">
        <v>166</v>
      </c>
      <c r="E7" s="30" t="s">
        <v>167</v>
      </c>
      <c r="F7" s="39" t="s">
        <v>168</v>
      </c>
    </row>
    <row r="8" spans="2:6" ht="16.5" customHeight="1">
      <c r="B8" s="21" t="s">
        <v>29</v>
      </c>
      <c r="C8" s="32">
        <f>'التقييم التقني'!D14</f>
        <v>0</v>
      </c>
      <c r="D8" s="32">
        <f>'التقييم التقني'!E14</f>
        <v>35</v>
      </c>
      <c r="E8" s="32">
        <f>الإعدادات!$C$6</f>
        <v>30</v>
      </c>
      <c r="F8" s="40">
        <f>IF(D8=0,0,(C8/D8)*E8)</f>
        <v>0</v>
      </c>
    </row>
    <row r="9" spans="2:6" ht="16.5" customHeight="1">
      <c r="B9" s="21" t="s">
        <v>31</v>
      </c>
      <c r="C9" s="32">
        <f>'التقييم التقني'!D21</f>
        <v>0</v>
      </c>
      <c r="D9" s="32">
        <f>'التقييم التقني'!E21</f>
        <v>25</v>
      </c>
      <c r="E9" s="32">
        <f>الإعدادات!$C$7</f>
        <v>20</v>
      </c>
      <c r="F9" s="40">
        <f>IF(D9=0,0,(C9/D9)*E9)</f>
        <v>0</v>
      </c>
    </row>
    <row r="10" spans="2:6" ht="16.5" customHeight="1">
      <c r="B10" s="21" t="s">
        <v>33</v>
      </c>
      <c r="C10" s="32">
        <f>'التقييم التقني'!D37</f>
        <v>0</v>
      </c>
      <c r="D10" s="32">
        <f>'التقييم التقني'!E37</f>
        <v>24</v>
      </c>
      <c r="E10" s="32">
        <f>الإعدادات!$C$8</f>
        <v>25</v>
      </c>
      <c r="F10" s="40">
        <f>IF(D10=0,0,(C10/D10)*E10)</f>
        <v>0</v>
      </c>
    </row>
    <row r="11" spans="2:6" ht="16.5" customHeight="1">
      <c r="B11" s="21" t="s">
        <v>169</v>
      </c>
      <c r="C11" s="32">
        <f>'التقييم التقني'!D43</f>
        <v>0</v>
      </c>
      <c r="D11" s="32">
        <f>'التقييم التقني'!E43</f>
        <v>16</v>
      </c>
      <c r="E11" s="32">
        <f>الإعدادات!$C$9</f>
        <v>25</v>
      </c>
      <c r="F11" s="40">
        <f>IF(D11=0,0,(C11/D11)*E11)</f>
        <v>0</v>
      </c>
    </row>
    <row r="12" spans="2:6" ht="19.5" customHeight="1">
      <c r="B12" s="92" t="s">
        <v>170</v>
      </c>
      <c r="C12" s="92"/>
      <c r="D12" s="92"/>
      <c r="E12" s="92"/>
      <c r="F12" s="41">
        <f>ROUND(SUM(F8,F9,F10,F11),1)</f>
        <v>0</v>
      </c>
    </row>
    <row r="13" spans="2:6" ht="16.5" customHeight="1">
      <c r="B13" s="6"/>
      <c r="C13" s="6"/>
      <c r="D13" s="6"/>
      <c r="E13" s="6"/>
      <c r="F13" s="6"/>
    </row>
    <row r="14" spans="2:6" ht="15" customHeight="1">
      <c r="B14" s="89" t="s">
        <v>40</v>
      </c>
      <c r="C14" s="89"/>
      <c r="D14" s="90" t="str">
        <f>IF('بوابة الاكتمال'!C13&lt;&gt;"مكتمل — جاهز للتقييم","لا يمكن تحديد الأولوية قبل اكتمال البوابة",IF(F12&gt;=الإعدادات!$C$16,"عالية",IF(F12&gt;=الإعدادات!$C$17,"متوسطة","منخفضة")))</f>
        <v>منخفضة</v>
      </c>
      <c r="E14" s="90"/>
      <c r="F14" s="90"/>
    </row>
    <row r="15" spans="2:6" ht="16.5" customHeight="1">
      <c r="B15" s="6"/>
      <c r="C15" s="6"/>
      <c r="D15" s="6"/>
      <c r="E15" s="6"/>
      <c r="F15" s="6"/>
    </row>
    <row r="16" spans="2:6" ht="15" customHeight="1">
      <c r="B16" s="89" t="s">
        <v>171</v>
      </c>
      <c r="C16" s="89"/>
      <c r="D16" s="91"/>
      <c r="E16" s="91"/>
      <c r="F16" s="91"/>
    </row>
    <row r="17" spans="2:6" ht="15" customHeight="1">
      <c r="B17" s="70" t="s">
        <v>172</v>
      </c>
      <c r="C17" s="70"/>
      <c r="D17" s="70"/>
      <c r="E17" s="70"/>
      <c r="F17" s="70"/>
    </row>
    <row r="18" spans="2:6" ht="16.5" customHeight="1">
      <c r="B18" s="6"/>
      <c r="C18" s="6"/>
      <c r="D18" s="6"/>
      <c r="E18" s="6"/>
      <c r="F18" s="6"/>
    </row>
    <row r="19" spans="2:6" ht="16.5" customHeight="1">
      <c r="B19" s="97" t="s">
        <v>173</v>
      </c>
      <c r="C19" s="97"/>
      <c r="D19" s="97"/>
      <c r="E19" s="97"/>
      <c r="F19" s="97"/>
    </row>
    <row r="20" spans="2:6">
      <c r="B20" s="53"/>
      <c r="C20" s="53"/>
      <c r="D20" s="53"/>
      <c r="E20" s="53"/>
      <c r="F20" s="53"/>
    </row>
    <row r="21" spans="2:6">
      <c r="B21" s="53"/>
      <c r="C21" s="53"/>
      <c r="D21" s="53"/>
      <c r="E21" s="53"/>
      <c r="F21" s="53"/>
    </row>
    <row r="22" spans="2:6">
      <c r="B22" s="53"/>
      <c r="C22" s="53"/>
      <c r="D22" s="53"/>
      <c r="E22" s="53"/>
      <c r="F22" s="53"/>
    </row>
    <row r="23" spans="2:6" ht="16.5" customHeight="1">
      <c r="B23" s="6"/>
      <c r="C23" s="6"/>
      <c r="D23" s="6"/>
      <c r="E23" s="6"/>
      <c r="F23" s="6"/>
    </row>
    <row r="24" spans="2:6" ht="16.5" customHeight="1">
      <c r="B24" s="96" t="s">
        <v>174</v>
      </c>
      <c r="C24" s="96"/>
      <c r="D24" s="96"/>
      <c r="E24" s="96"/>
      <c r="F24" s="96"/>
    </row>
    <row r="25" spans="2:6" ht="15" customHeight="1">
      <c r="B25" s="38" t="s">
        <v>175</v>
      </c>
      <c r="C25" s="30" t="s">
        <v>176</v>
      </c>
      <c r="D25" s="30" t="s">
        <v>177</v>
      </c>
      <c r="E25" s="88" t="s">
        <v>178</v>
      </c>
      <c r="F25" s="88"/>
    </row>
    <row r="26" spans="2:6" ht="16.5" customHeight="1">
      <c r="B26" s="21" t="s">
        <v>89</v>
      </c>
      <c r="C26" s="31"/>
      <c r="D26" s="31"/>
      <c r="E26" s="86"/>
      <c r="F26" s="86"/>
    </row>
    <row r="27" spans="2:6" ht="16.5" customHeight="1">
      <c r="B27" s="21" t="s">
        <v>179</v>
      </c>
      <c r="C27" s="31"/>
      <c r="D27" s="31"/>
      <c r="E27" s="85"/>
      <c r="F27" s="85"/>
    </row>
    <row r="28" spans="2:6" ht="16.5" customHeight="1">
      <c r="B28" s="21" t="s">
        <v>180</v>
      </c>
      <c r="C28" s="31"/>
      <c r="D28" s="31"/>
      <c r="E28" s="86"/>
      <c r="F28" s="86"/>
    </row>
    <row r="29" spans="2:6" ht="16.5" customHeight="1">
      <c r="B29" s="22" t="s">
        <v>181</v>
      </c>
      <c r="C29" s="42"/>
      <c r="D29" s="42"/>
      <c r="E29" s="87"/>
      <c r="F29" s="87"/>
    </row>
    <row r="30" spans="2:6" ht="18" customHeight="1"/>
  </sheetData>
  <mergeCells count="18">
    <mergeCell ref="B2:F2"/>
    <mergeCell ref="B4:C4"/>
    <mergeCell ref="D4:F4"/>
    <mergeCell ref="B6:F6"/>
    <mergeCell ref="B12:E12"/>
    <mergeCell ref="B14:C14"/>
    <mergeCell ref="D14:F14"/>
    <mergeCell ref="B16:C16"/>
    <mergeCell ref="D16:F16"/>
    <mergeCell ref="B17:F17"/>
    <mergeCell ref="E27:F27"/>
    <mergeCell ref="E28:F28"/>
    <mergeCell ref="E29:F29"/>
    <mergeCell ref="B19:F19"/>
    <mergeCell ref="B20:F22"/>
    <mergeCell ref="B24:F24"/>
    <mergeCell ref="E25:F25"/>
    <mergeCell ref="E26:F26"/>
  </mergeCells>
  <conditionalFormatting sqref="D14">
    <cfRule type="expression" dxfId="2" priority="2">
      <formula>D14="عالية"</formula>
    </cfRule>
    <cfRule type="expression" dxfId="1" priority="3">
      <formula>D14="متوسطة"</formula>
    </cfRule>
    <cfRule type="expression" dxfId="0" priority="4">
      <formula>D14="منخفضة"</formula>
    </cfRule>
  </conditionalFormatting>
  <pageMargins left="0.75" right="0.75" top="1" bottom="1" header="0.511811023622047" footer="0.511811023622047"/>
  <pageSetup paperSize="9" scale="73"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0</cp:revision>
  <dcterms:created xsi:type="dcterms:W3CDTF">2026-06-30T16:04:47Z</dcterms:created>
  <dcterms:modified xsi:type="dcterms:W3CDTF">2026-07-19T10:58:51Z</dcterms:modified>
  <cp:category/>
  <cp:contentStatus/>
</cp:coreProperties>
</file>